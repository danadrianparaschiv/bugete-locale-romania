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ar" sheetId="1" state="visible" r:id="rId1"/>
    <sheet xmlns:r="http://schemas.openxmlformats.org/officeDocument/2006/relationships" name="Municipii" sheetId="2" state="visible" r:id="rId2"/>
    <sheet xmlns:r="http://schemas.openxmlformats.org/officeDocument/2006/relationships" name="Capitole" sheetId="3" state="visible" r:id="rId3"/>
    <sheet xmlns:r="http://schemas.openxmlformats.org/officeDocument/2006/relationships" name="Surse augmentare" sheetId="4" state="visible" r:id="rId4"/>
  </sheets>
  <definedNames>
    <definedName name="_xlnm._FilterDatabase" localSheetId="1" hidden="1">'Municipii'!$A$1:$AV$124</definedName>
    <definedName name="_xlnm._FilterDatabase" localSheetId="2" hidden="1">'Capitole'!$A$1:$J$446</definedName>
    <definedName name="_xlnm._FilterDatabase" localSheetId="3" hidden="1">'Surse augmentare'!$A$1:$C$35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1F4E78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unicipiiAnalytics" displayName="MunicipiiAnalytics" ref="A1:AV124" headerRowCount="1">
  <autoFilter ref="A1:AV124"/>
  <tableColumns count="48">
    <tableColumn id="1" name="An"/>
    <tableColumn id="2" name="SIRUTA"/>
    <tableColumn id="3" name="Municipiu"/>
    <tableColumn id="4" name="Județ"/>
    <tableColumn id="5" name="Eligibil plan"/>
    <tableColumn id="6" name="Motiv excludere plan"/>
    <tableColumn id="7" name="Bundle"/>
    <tableColumn id="8" name="% linii strict"/>
    <tableColumn id="9" name="Recall măsurat"/>
    <tableColumn id="10" name="Populație"/>
    <tableColumn id="11" name="Data populației"/>
    <tableColumn id="12" name="Suprafață km²"/>
    <tableColumn id="13" name="Densitate loc/km²"/>
    <tableColumn id="14" name="Venituri plan mii lei"/>
    <tableColumn id="15" name="Cheltuieli plan mii lei"/>
    <tableColumn id="16" name="Sold plan mii lei"/>
    <tableColumn id="17" name="Venituri lei/loc"/>
    <tableColumn id="18" name="Cheltuieli lei/loc"/>
    <tableColumn id="19" name="Sold plan lei/loc"/>
    <tableColumn id="20" name="Rang cheltuieli plan/loc"/>
    <tableColumn id="21" name="Cohortă rang plan"/>
    <tableColumn id="22" name="Trimestru execuție"/>
    <tableColumn id="23" name="Data execuției"/>
    <tableColumn id="24" name="Venituri efective mii lei"/>
    <tableColumn id="25" name="Cheltuieli efective mii lei"/>
    <tableColumn id="26" name="Sold efectiv mii lei"/>
    <tableColumn id="27" name="Venituri efective lei/loc"/>
    <tableColumn id="28" name="Cheltuieli efective lei/loc"/>
    <tableColumn id="29" name="Sold efectiv lei/loc"/>
    <tableColumn id="30" name="Rang cheltuieli efective/loc"/>
    <tableColumn id="31" name="Cohortă rang execuție"/>
    <tableColumn id="32" name="% execuție venituri"/>
    <tableColumn id="33" name="% execuție cheltuieli"/>
    <tableColumn id="34" name="Δ venituri plan %"/>
    <tableColumn id="35" name="Δ cheltuieli plan %"/>
    <tableColumn id="36" name="Eligibil execuție"/>
    <tableColumn id="37" name="Motiv excludere execuție"/>
    <tableColumn id="38" name="Versiune clasificare regională"/>
    <tableColumn id="39" name="NUTS1 cod"/>
    <tableColumn id="40" name="NUTS1 nume"/>
    <tableColumn id="41" name="NUTS2 cod"/>
    <tableColumn id="42" name="NUTS2 nume"/>
    <tableColumn id="43" name="NUTS3 cod"/>
    <tableColumn id="44" name="NUTS3 nume"/>
    <tableColumn id="45" name="Inflație HICP medie anuală %"/>
    <tableColumn id="46" name="Stare inflație"/>
    <tableColumn id="47" name="Δ real venituri plan %"/>
    <tableColumn id="48" name="Δ real cheltuieli plan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pitoleAnalytics" displayName="CapitoleAnalytics" ref="A1:J446" headerRowCount="1">
  <autoFilter ref="A1:J446"/>
  <tableColumns count="10">
    <tableColumn id="1" name="An"/>
    <tableColumn id="2" name="SIRUTA"/>
    <tableColumn id="3" name="Municipiu"/>
    <tableColumn id="4" name="Județ"/>
    <tableColumn id="5" name="Cod"/>
    <tableColumn id="6" name="Capitol"/>
    <tableColumn id="7" name="Total mii lei"/>
    <tableColumn id="8" name="% din cheltuieli plan"/>
    <tableColumn id="9" name="Lei/locuitor"/>
    <tableColumn id="10" name="Not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rseAnalytics" displayName="SurseAnalytics" ref="A1:C35" headerRowCount="1">
  <autoFilter ref="A1:C35"/>
  <tableColumns count="3">
    <tableColumn id="1" name="Strat"/>
    <tableColumn id="2" name="Câmp"/>
    <tableColumn id="3" name="Valo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8" customWidth="1" min="2" max="2"/>
    <col width="18" customWidth="1" min="3" max="3"/>
    <col width="20" customWidth="1" min="4" max="4"/>
  </cols>
  <sheetData>
    <row r="1">
      <c r="A1" s="1" t="inlineStr">
        <is>
          <t>Analitice bugete locale</t>
        </is>
      </c>
    </row>
    <row r="3" ht="60" customHeight="1">
      <c r="A3" t="inlineStr">
        <is>
          <t>Contract</t>
        </is>
      </c>
      <c r="B3" s="2" t="inlineStr">
        <is>
          <t>Clasamentele includ numai bundle-uri publice coerente, cu total de cheltuieli verificabil, populație RPL2021 și fără semnal de plan incomplet.</t>
        </is>
      </c>
    </row>
    <row r="4">
      <c r="A4" t="inlineStr">
        <is>
          <t>Unități</t>
        </is>
      </c>
      <c r="B4" t="inlineStr">
        <is>
          <t>mii lei; indicatorii per capita sunt lei/locuitor</t>
        </is>
      </c>
    </row>
    <row r="6">
      <c r="A6" s="3" t="inlineStr">
        <is>
          <t>An</t>
        </is>
      </c>
      <c r="B6" s="3" t="inlineStr">
        <is>
          <t>Municipii</t>
        </is>
      </c>
      <c r="C6" s="3" t="inlineStr">
        <is>
          <t>Eligibile plan</t>
        </is>
      </c>
      <c r="D6" s="3" t="inlineStr">
        <is>
          <t>Eligibile execuție</t>
        </is>
      </c>
    </row>
    <row r="7">
      <c r="A7" t="n">
        <v>2026</v>
      </c>
      <c r="B7" t="n">
        <v>41</v>
      </c>
      <c r="C7" t="n">
        <v>9</v>
      </c>
      <c r="D7" t="n">
        <v>41</v>
      </c>
    </row>
    <row r="8">
      <c r="A8" t="n">
        <v>2025</v>
      </c>
      <c r="B8" t="n">
        <v>41</v>
      </c>
      <c r="C8" t="n">
        <v>14</v>
      </c>
      <c r="D8" t="n">
        <v>0</v>
      </c>
    </row>
    <row r="9">
      <c r="A9" t="n">
        <v>2024</v>
      </c>
      <c r="B9" t="n">
        <v>41</v>
      </c>
      <c r="C9" t="n">
        <v>24</v>
      </c>
      <c r="D9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14" customWidth="1" min="5" max="5"/>
    <col width="32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  <col width="16" customWidth="1" min="13" max="13"/>
    <col width="19" customWidth="1" min="14" max="14"/>
    <col width="20" customWidth="1" min="15" max="15"/>
    <col width="18" customWidth="1" min="16" max="16"/>
    <col width="18" customWidth="1" min="17" max="17"/>
    <col width="20" customWidth="1" min="18" max="18"/>
    <col width="18" customWidth="1" min="19" max="19"/>
    <col width="20" customWidth="1" min="20" max="20"/>
    <col width="16" customWidth="1" min="21" max="21"/>
    <col width="16" customWidth="1" min="22" max="22"/>
    <col width="16" customWidth="1" min="23" max="23"/>
    <col width="20" customWidth="1" min="24" max="24"/>
    <col width="21" customWidth="1" min="25" max="25"/>
    <col width="18" customWidth="1" min="26" max="26"/>
    <col width="21" customWidth="1" min="27" max="27"/>
    <col width="22" customWidth="1" min="28" max="28"/>
    <col width="19" customWidth="1" min="29" max="29"/>
    <col width="23" customWidth="1" min="30" max="30"/>
    <col width="18" customWidth="1" min="31" max="31"/>
    <col width="19" customWidth="1" min="32" max="32"/>
    <col width="20" customWidth="1" min="33" max="33"/>
    <col width="18" customWidth="1" min="34" max="34"/>
    <col width="20" customWidth="1" min="35" max="35"/>
    <col width="17" customWidth="1" min="36" max="36"/>
    <col width="34" customWidth="1" min="37" max="37"/>
    <col width="22" customWidth="1" min="38" max="38"/>
    <col width="12" customWidth="1" min="39" max="39"/>
    <col width="24" customWidth="1" min="40" max="40"/>
    <col width="12" customWidth="1" min="41" max="41"/>
    <col width="24" customWidth="1" min="42" max="42"/>
    <col width="12" customWidth="1" min="43" max="43"/>
    <col width="24" customWidth="1" min="44" max="44"/>
    <col width="21" customWidth="1" min="45" max="45"/>
    <col width="26" customWidth="1" min="46" max="46"/>
    <col width="20" customWidth="1" min="47" max="47"/>
    <col width="22" customWidth="1" min="48" max="48"/>
  </cols>
  <sheetData>
    <row r="1" ht="30" customHeight="1">
      <c r="A1" s="4" t="inlineStr">
        <is>
          <t>An</t>
        </is>
      </c>
      <c r="B1" s="4" t="inlineStr">
        <is>
          <t>SIRUTA</t>
        </is>
      </c>
      <c r="C1" s="4" t="inlineStr">
        <is>
          <t>Municipiu</t>
        </is>
      </c>
      <c r="D1" s="4" t="inlineStr">
        <is>
          <t>Județ</t>
        </is>
      </c>
      <c r="E1" s="4" t="inlineStr">
        <is>
          <t>Eligibil plan</t>
        </is>
      </c>
      <c r="F1" s="4" t="inlineStr">
        <is>
          <t>Motiv excludere plan</t>
        </is>
      </c>
      <c r="G1" s="4" t="inlineStr">
        <is>
          <t>Bundle</t>
        </is>
      </c>
      <c r="H1" s="4" t="inlineStr">
        <is>
          <t>% linii strict</t>
        </is>
      </c>
      <c r="I1" s="4" t="inlineStr">
        <is>
          <t>Recall măsurat</t>
        </is>
      </c>
      <c r="J1" s="4" t="inlineStr">
        <is>
          <t>Populație</t>
        </is>
      </c>
      <c r="K1" s="4" t="inlineStr">
        <is>
          <t>Data populației</t>
        </is>
      </c>
      <c r="L1" s="4" t="inlineStr">
        <is>
          <t>Suprafață km²</t>
        </is>
      </c>
      <c r="M1" s="4" t="inlineStr">
        <is>
          <t>Densitate loc/km²</t>
        </is>
      </c>
      <c r="N1" s="4" t="inlineStr">
        <is>
          <t>Venituri plan mii lei</t>
        </is>
      </c>
      <c r="O1" s="4" t="inlineStr">
        <is>
          <t>Cheltuieli plan mii lei</t>
        </is>
      </c>
      <c r="P1" s="4" t="inlineStr">
        <is>
          <t>Sold plan mii lei</t>
        </is>
      </c>
      <c r="Q1" s="4" t="inlineStr">
        <is>
          <t>Venituri lei/loc</t>
        </is>
      </c>
      <c r="R1" s="4" t="inlineStr">
        <is>
          <t>Cheltuieli lei/loc</t>
        </is>
      </c>
      <c r="S1" s="4" t="inlineStr">
        <is>
          <t>Sold plan lei/loc</t>
        </is>
      </c>
      <c r="T1" s="4" t="inlineStr">
        <is>
          <t>Rang cheltuieli plan/loc</t>
        </is>
      </c>
      <c r="U1" s="4" t="inlineStr">
        <is>
          <t>Cohortă rang plan</t>
        </is>
      </c>
      <c r="V1" s="4" t="inlineStr">
        <is>
          <t>Trimestru execuție</t>
        </is>
      </c>
      <c r="W1" s="4" t="inlineStr">
        <is>
          <t>Data execuției</t>
        </is>
      </c>
      <c r="X1" s="4" t="inlineStr">
        <is>
          <t>Venituri efective mii lei</t>
        </is>
      </c>
      <c r="Y1" s="4" t="inlineStr">
        <is>
          <t>Cheltuieli efective mii lei</t>
        </is>
      </c>
      <c r="Z1" s="4" t="inlineStr">
        <is>
          <t>Sold efectiv mii lei</t>
        </is>
      </c>
      <c r="AA1" s="4" t="inlineStr">
        <is>
          <t>Venituri efective lei/loc</t>
        </is>
      </c>
      <c r="AB1" s="4" t="inlineStr">
        <is>
          <t>Cheltuieli efective lei/loc</t>
        </is>
      </c>
      <c r="AC1" s="4" t="inlineStr">
        <is>
          <t>Sold efectiv lei/loc</t>
        </is>
      </c>
      <c r="AD1" s="4" t="inlineStr">
        <is>
          <t>Rang cheltuieli efective/loc</t>
        </is>
      </c>
      <c r="AE1" s="4" t="inlineStr">
        <is>
          <t>Cohortă rang execuție</t>
        </is>
      </c>
      <c r="AF1" s="4" t="inlineStr">
        <is>
          <t>% execuție venituri</t>
        </is>
      </c>
      <c r="AG1" s="4" t="inlineStr">
        <is>
          <t>% execuție cheltuieli</t>
        </is>
      </c>
      <c r="AH1" s="4" t="inlineStr">
        <is>
          <t>Δ venituri plan %</t>
        </is>
      </c>
      <c r="AI1" s="4" t="inlineStr">
        <is>
          <t>Δ cheltuieli plan %</t>
        </is>
      </c>
      <c r="AJ1" s="4" t="inlineStr">
        <is>
          <t>Eligibil execuție</t>
        </is>
      </c>
      <c r="AK1" s="4" t="inlineStr">
        <is>
          <t>Motiv excludere execuție</t>
        </is>
      </c>
      <c r="AL1" s="4" t="inlineStr">
        <is>
          <t>Versiune clasificare regională</t>
        </is>
      </c>
      <c r="AM1" s="4" t="inlineStr">
        <is>
          <t>NUTS1 cod</t>
        </is>
      </c>
      <c r="AN1" s="4" t="inlineStr">
        <is>
          <t>NUTS1 nume</t>
        </is>
      </c>
      <c r="AO1" s="4" t="inlineStr">
        <is>
          <t>NUTS2 cod</t>
        </is>
      </c>
      <c r="AP1" s="4" t="inlineStr">
        <is>
          <t>NUTS2 nume</t>
        </is>
      </c>
      <c r="AQ1" s="4" t="inlineStr">
        <is>
          <t>NUTS3 cod</t>
        </is>
      </c>
      <c r="AR1" s="4" t="inlineStr">
        <is>
          <t>NUTS3 nume</t>
        </is>
      </c>
      <c r="AS1" s="4" t="inlineStr">
        <is>
          <t>Inflație HICP medie anuală %</t>
        </is>
      </c>
      <c r="AT1" s="4" t="inlineStr">
        <is>
          <t>Stare inflație</t>
        </is>
      </c>
      <c r="AU1" s="4" t="inlineStr">
        <is>
          <t>Δ real venituri plan %</t>
        </is>
      </c>
      <c r="AV1" s="4" t="inlineStr">
        <is>
          <t>Δ real cheltuieli plan %</t>
        </is>
      </c>
    </row>
    <row r="2">
      <c r="A2" t="n">
        <v>2026</v>
      </c>
      <c r="B2" t="inlineStr">
        <is>
          <t>1017</t>
        </is>
      </c>
      <c r="C2" t="inlineStr">
        <is>
          <t>Alba Iulia</t>
        </is>
      </c>
      <c r="D2" t="inlineStr">
        <is>
          <t>Alba</t>
        </is>
      </c>
      <c r="E2" t="inlineStr">
        <is>
          <t>da</t>
        </is>
      </c>
      <c r="G2" t="inlineStr">
        <is>
          <t>verified</t>
        </is>
      </c>
      <c r="H2" s="5" t="n">
        <v>100</v>
      </c>
      <c r="I2" t="inlineStr">
        <is>
          <t>nu</t>
        </is>
      </c>
      <c r="J2" s="6" t="n">
        <v>64227</v>
      </c>
      <c r="K2" t="inlineStr">
        <is>
          <t>2021-12-01</t>
        </is>
      </c>
      <c r="L2" s="7" t="n">
        <v>103.65</v>
      </c>
      <c r="M2" s="7">
        <f>IFERROR(J2/L2,"")</f>
        <v/>
      </c>
      <c r="N2" s="7" t="n">
        <v>646801.0600000001</v>
      </c>
      <c r="O2" s="7" t="n">
        <v>650517.76</v>
      </c>
      <c r="P2" s="7">
        <f>IF(OR($E2&lt;&gt;"da",N2="",O2=""),"",N2-O2)</f>
        <v/>
      </c>
      <c r="Q2" s="7">
        <f>IF(OR($E2&lt;&gt;"da",N2=""),"",IFERROR(N2*1000/J2,""))</f>
        <v/>
      </c>
      <c r="R2" s="7">
        <f>IF(OR($E2&lt;&gt;"da",O2=""),"",IFERROR(O2*1000/J2,""))</f>
        <v/>
      </c>
      <c r="S2" s="7">
        <f>IF(OR($E2&lt;&gt;"da",P2=""),"",IFERROR(P2*1000/J2,""))</f>
        <v/>
      </c>
      <c r="T2" s="8" t="n">
        <v>3</v>
      </c>
      <c r="U2" s="8" t="n">
        <v>9</v>
      </c>
      <c r="V2" s="8" t="n">
        <v>2</v>
      </c>
      <c r="W2" t="inlineStr">
        <is>
          <t>2026-06-30</t>
        </is>
      </c>
      <c r="X2" s="7" t="n">
        <v>296585.66492</v>
      </c>
      <c r="Y2" s="7" t="n">
        <v>281716.7958</v>
      </c>
      <c r="Z2" s="7">
        <f>IF(OR(X2="",Y2=""),"",X2-Y2)</f>
        <v/>
      </c>
      <c r="AA2" s="7">
        <f>IF(OR($AJ2&lt;&gt;"da",X2=""),"",IFERROR(X2*1000/J2,""))</f>
        <v/>
      </c>
      <c r="AB2" s="7">
        <f>IF(OR($AJ2&lt;&gt;"da",Y2=""),"",IFERROR(Y2*1000/J2,""))</f>
        <v/>
      </c>
      <c r="AC2" s="7">
        <f>IF(OR($AJ2&lt;&gt;"da",Z2=""),"",IFERROR(Z2*1000/J2,""))</f>
        <v/>
      </c>
      <c r="AD2" s="8" t="n">
        <v>3</v>
      </c>
      <c r="AE2" s="8" t="n">
        <v>41</v>
      </c>
      <c r="AF2" s="9" t="n">
        <v>45.9</v>
      </c>
      <c r="AG2" s="9" t="n">
        <v>43.3</v>
      </c>
      <c r="AH2" s="9" t="n">
        <v>0.35</v>
      </c>
      <c r="AI2" s="9" t="n">
        <v>-0.22</v>
      </c>
      <c r="AJ2" t="inlineStr">
        <is>
          <t>da</t>
        </is>
      </c>
      <c r="AL2" t="inlineStr">
        <is>
          <t>NUTS 2024</t>
        </is>
      </c>
      <c r="AM2" t="inlineStr">
        <is>
          <t>RO1</t>
        </is>
      </c>
      <c r="AN2" t="inlineStr">
        <is>
          <t>Macroregiunea Unu</t>
        </is>
      </c>
      <c r="AO2" t="inlineStr">
        <is>
          <t>RO12</t>
        </is>
      </c>
      <c r="AP2" t="inlineStr">
        <is>
          <t>Centru</t>
        </is>
      </c>
      <c r="AQ2" t="inlineStr">
        <is>
          <t>RO121</t>
        </is>
      </c>
      <c r="AR2" t="inlineStr">
        <is>
          <t>Alba</t>
        </is>
      </c>
      <c r="AS2" s="9" t="n"/>
      <c r="AT2" t="inlineStr">
        <is>
          <t>full_year_not_available</t>
        </is>
      </c>
      <c r="AU2" s="9" t="n"/>
      <c r="AV2" s="9" t="n"/>
    </row>
    <row r="3">
      <c r="A3" t="n">
        <v>2026</v>
      </c>
      <c r="B3" t="inlineStr">
        <is>
          <t>9262</t>
        </is>
      </c>
      <c r="C3" t="inlineStr">
        <is>
          <t>Arad</t>
        </is>
      </c>
      <c r="D3" t="inlineStr">
        <is>
          <t>Arad</t>
        </is>
      </c>
      <c r="E3" t="inlineStr">
        <is>
          <t>nu</t>
        </is>
      </c>
      <c r="F3" t="inlineStr">
        <is>
          <t>total_cheltuieli_lipsa</t>
        </is>
      </c>
      <c r="G3" t="inlineStr">
        <is>
          <t>verified</t>
        </is>
      </c>
      <c r="H3" s="5" t="n">
        <v>68</v>
      </c>
      <c r="I3" t="inlineStr">
        <is>
          <t>nu</t>
        </is>
      </c>
      <c r="J3" s="6" t="n">
        <v>145078</v>
      </c>
      <c r="K3" t="inlineStr">
        <is>
          <t>2021-12-01</t>
        </is>
      </c>
      <c r="L3" s="7" t="n">
        <v>116.5</v>
      </c>
      <c r="M3" s="7">
        <f>IFERROR(J3/L3,"")</f>
        <v/>
      </c>
      <c r="N3" s="7" t="n">
        <v>1250646.5</v>
      </c>
      <c r="O3" s="7" t="n"/>
      <c r="P3" s="7">
        <f>IF(OR($E3&lt;&gt;"da",N3="",O3=""),"",N3-O3)</f>
        <v/>
      </c>
      <c r="Q3" s="7">
        <f>IF(OR($E3&lt;&gt;"da",N3=""),"",IFERROR(N3*1000/J3,""))</f>
        <v/>
      </c>
      <c r="R3" s="7">
        <f>IF(OR($E3&lt;&gt;"da",O3=""),"",IFERROR(O3*1000/J3,""))</f>
        <v/>
      </c>
      <c r="S3" s="7">
        <f>IF(OR($E3&lt;&gt;"da",P3=""),"",IFERROR(P3*1000/J3,""))</f>
        <v/>
      </c>
      <c r="T3" s="8" t="n"/>
      <c r="U3" s="8" t="n"/>
      <c r="V3" s="8" t="n">
        <v>2</v>
      </c>
      <c r="W3" t="inlineStr">
        <is>
          <t>2026-06-30</t>
        </is>
      </c>
      <c r="X3" s="7" t="n">
        <v>636605.69319</v>
      </c>
      <c r="Y3" s="7" t="n">
        <v>562656.64397</v>
      </c>
      <c r="Z3" s="7">
        <f>IF(OR(X3="",Y3=""),"",X3-Y3)</f>
        <v/>
      </c>
      <c r="AA3" s="7">
        <f>IF(OR($AJ3&lt;&gt;"da",X3=""),"",IFERROR(X3*1000/J3,""))</f>
        <v/>
      </c>
      <c r="AB3" s="7">
        <f>IF(OR($AJ3&lt;&gt;"da",Y3=""),"",IFERROR(Y3*1000/J3,""))</f>
        <v/>
      </c>
      <c r="AC3" s="7">
        <f>IF(OR($AJ3&lt;&gt;"da",Z3=""),"",IFERROR(Z3*1000/J3,""))</f>
        <v/>
      </c>
      <c r="AD3" s="8" t="n">
        <v>7</v>
      </c>
      <c r="AE3" s="8" t="n">
        <v>41</v>
      </c>
      <c r="AF3" s="9" t="n"/>
      <c r="AG3" s="9" t="n"/>
      <c r="AH3" s="9" t="n"/>
      <c r="AI3" s="9" t="n"/>
      <c r="AJ3" t="inlineStr">
        <is>
          <t>da</t>
        </is>
      </c>
      <c r="AL3" t="inlineStr">
        <is>
          <t>NUTS 2024</t>
        </is>
      </c>
      <c r="AM3" t="inlineStr">
        <is>
          <t>RO4</t>
        </is>
      </c>
      <c r="AN3" t="inlineStr">
        <is>
          <t>Macroregiunea Patru</t>
        </is>
      </c>
      <c r="AO3" t="inlineStr">
        <is>
          <t>RO42</t>
        </is>
      </c>
      <c r="AP3" t="inlineStr">
        <is>
          <t>Vest</t>
        </is>
      </c>
      <c r="AQ3" t="inlineStr">
        <is>
          <t>RO421</t>
        </is>
      </c>
      <c r="AR3" t="inlineStr">
        <is>
          <t>Arad</t>
        </is>
      </c>
      <c r="AS3" s="9" t="n"/>
      <c r="AT3" t="inlineStr">
        <is>
          <t>full_year_not_available</t>
        </is>
      </c>
      <c r="AU3" s="9" t="n"/>
      <c r="AV3" s="9" t="n"/>
    </row>
    <row r="4">
      <c r="A4" t="n">
        <v>2026</v>
      </c>
      <c r="B4" t="inlineStr">
        <is>
          <t>13169</t>
        </is>
      </c>
      <c r="C4" t="inlineStr">
        <is>
          <t>Pitești</t>
        </is>
      </c>
      <c r="D4" t="inlineStr">
        <is>
          <t>Argeș</t>
        </is>
      </c>
      <c r="E4" t="inlineStr">
        <is>
          <t>da</t>
        </is>
      </c>
      <c r="G4" t="inlineStr">
        <is>
          <t>verified</t>
        </is>
      </c>
      <c r="H4" s="5" t="n">
        <v>70.5</v>
      </c>
      <c r="I4" t="inlineStr">
        <is>
          <t>nu</t>
        </is>
      </c>
      <c r="J4" s="6" t="n">
        <v>141275</v>
      </c>
      <c r="K4" t="inlineStr">
        <is>
          <t>2021-12-01</t>
        </is>
      </c>
      <c r="L4" s="7" t="n">
        <v>111.13</v>
      </c>
      <c r="M4" s="7">
        <f>IFERROR(J4/L4,"")</f>
        <v/>
      </c>
      <c r="N4" s="7" t="n">
        <v>848702.87</v>
      </c>
      <c r="O4" s="7" t="n">
        <v>969479.87</v>
      </c>
      <c r="P4" s="7">
        <f>IF(OR($E4&lt;&gt;"da",N4="",O4=""),"",N4-O4)</f>
        <v/>
      </c>
      <c r="Q4" s="7">
        <f>IF(OR($E4&lt;&gt;"da",N4=""),"",IFERROR(N4*1000/J4,""))</f>
        <v/>
      </c>
      <c r="R4" s="7">
        <f>IF(OR($E4&lt;&gt;"da",O4=""),"",IFERROR(O4*1000/J4,""))</f>
        <v/>
      </c>
      <c r="S4" s="7">
        <f>IF(OR($E4&lt;&gt;"da",P4=""),"",IFERROR(P4*1000/J4,""))</f>
        <v/>
      </c>
      <c r="T4" s="8" t="n">
        <v>6</v>
      </c>
      <c r="U4" s="8" t="n">
        <v>9</v>
      </c>
      <c r="V4" s="8" t="n">
        <v>2</v>
      </c>
      <c r="W4" t="inlineStr">
        <is>
          <t>2026-06-30</t>
        </is>
      </c>
      <c r="X4" s="7" t="n">
        <v>453197.64249</v>
      </c>
      <c r="Y4" s="7" t="n">
        <v>379335.62477</v>
      </c>
      <c r="Z4" s="7">
        <f>IF(OR(X4="",Y4=""),"",X4-Y4)</f>
        <v/>
      </c>
      <c r="AA4" s="7">
        <f>IF(OR($AJ4&lt;&gt;"da",X4=""),"",IFERROR(X4*1000/J4,""))</f>
        <v/>
      </c>
      <c r="AB4" s="7">
        <f>IF(OR($AJ4&lt;&gt;"da",Y4=""),"",IFERROR(Y4*1000/J4,""))</f>
        <v/>
      </c>
      <c r="AC4" s="7">
        <f>IF(OR($AJ4&lt;&gt;"da",Z4=""),"",IFERROR(Z4*1000/J4,""))</f>
        <v/>
      </c>
      <c r="AD4" s="8" t="n">
        <v>31</v>
      </c>
      <c r="AE4" s="8" t="n">
        <v>41</v>
      </c>
      <c r="AF4" s="9" t="n">
        <v>53.4</v>
      </c>
      <c r="AG4" s="9" t="n">
        <v>39.1</v>
      </c>
      <c r="AH4" s="9" t="n">
        <v>-19.35</v>
      </c>
      <c r="AI4" s="9" t="n">
        <v>-7.88</v>
      </c>
      <c r="AJ4" t="inlineStr">
        <is>
          <t>da</t>
        </is>
      </c>
      <c r="AL4" t="inlineStr">
        <is>
          <t>NUTS 2024</t>
        </is>
      </c>
      <c r="AM4" t="inlineStr">
        <is>
          <t>RO3</t>
        </is>
      </c>
      <c r="AN4" t="inlineStr">
        <is>
          <t>Macroregiunea Trei</t>
        </is>
      </c>
      <c r="AO4" t="inlineStr">
        <is>
          <t>RO31</t>
        </is>
      </c>
      <c r="AP4" t="inlineStr">
        <is>
          <t>Sud-Muntenia</t>
        </is>
      </c>
      <c r="AQ4" t="inlineStr">
        <is>
          <t>RO311</t>
        </is>
      </c>
      <c r="AR4" t="inlineStr">
        <is>
          <t>Argeș</t>
        </is>
      </c>
      <c r="AS4" s="9" t="n"/>
      <c r="AT4" t="inlineStr">
        <is>
          <t>full_year_not_available</t>
        </is>
      </c>
      <c r="AU4" s="9" t="n"/>
      <c r="AV4" s="9" t="n"/>
    </row>
    <row r="5">
      <c r="A5" t="n">
        <v>2026</v>
      </c>
      <c r="B5" t="inlineStr">
        <is>
          <t>20297</t>
        </is>
      </c>
      <c r="C5" t="inlineStr">
        <is>
          <t>Bacău</t>
        </is>
      </c>
      <c r="D5" t="inlineStr">
        <is>
          <t>Bacău</t>
        </is>
      </c>
      <c r="E5" t="inlineStr">
        <is>
          <t>nu</t>
        </is>
      </c>
      <c r="F5" t="inlineStr">
        <is>
          <t>total_cheltuieli_lipsa</t>
        </is>
      </c>
      <c r="G5" t="inlineStr">
        <is>
          <t>verified</t>
        </is>
      </c>
      <c r="H5" s="5" t="n">
        <v>73.40000000000001</v>
      </c>
      <c r="I5" t="inlineStr">
        <is>
          <t>nu</t>
        </is>
      </c>
      <c r="J5" s="6" t="n">
        <v>136087</v>
      </c>
      <c r="K5" t="inlineStr">
        <is>
          <t>2021-12-01</t>
        </is>
      </c>
      <c r="L5" s="7" t="n">
        <v>43.1</v>
      </c>
      <c r="M5" s="7">
        <f>IFERROR(J5/L5,"")</f>
        <v/>
      </c>
      <c r="N5" s="7" t="n"/>
      <c r="O5" s="7" t="n"/>
      <c r="P5" s="7">
        <f>IF(OR($E5&lt;&gt;"da",N5="",O5=""),"",N5-O5)</f>
        <v/>
      </c>
      <c r="Q5" s="7">
        <f>IF(OR($E5&lt;&gt;"da",N5=""),"",IFERROR(N5*1000/J5,""))</f>
        <v/>
      </c>
      <c r="R5" s="7">
        <f>IF(OR($E5&lt;&gt;"da",O5=""),"",IFERROR(O5*1000/J5,""))</f>
        <v/>
      </c>
      <c r="S5" s="7">
        <f>IF(OR($E5&lt;&gt;"da",P5=""),"",IFERROR(P5*1000/J5,""))</f>
        <v/>
      </c>
      <c r="T5" s="8" t="n"/>
      <c r="U5" s="8" t="n"/>
      <c r="V5" s="8" t="n">
        <v>2</v>
      </c>
      <c r="W5" t="inlineStr">
        <is>
          <t>2026-06-30</t>
        </is>
      </c>
      <c r="X5" s="7" t="n">
        <v>522028.26406</v>
      </c>
      <c r="Y5" s="7" t="n">
        <v>388218.45081</v>
      </c>
      <c r="Z5" s="7">
        <f>IF(OR(X5="",Y5=""),"",X5-Y5)</f>
        <v/>
      </c>
      <c r="AA5" s="7">
        <f>IF(OR($AJ5&lt;&gt;"da",X5=""),"",IFERROR(X5*1000/J5,""))</f>
        <v/>
      </c>
      <c r="AB5" s="7">
        <f>IF(OR($AJ5&lt;&gt;"da",Y5=""),"",IFERROR(Y5*1000/J5,""))</f>
        <v/>
      </c>
      <c r="AC5" s="7">
        <f>IF(OR($AJ5&lt;&gt;"da",Z5=""),"",IFERROR(Z5*1000/J5,""))</f>
        <v/>
      </c>
      <c r="AD5" s="8" t="n">
        <v>24</v>
      </c>
      <c r="AE5" s="8" t="n">
        <v>41</v>
      </c>
      <c r="AF5" s="9" t="n"/>
      <c r="AG5" s="9" t="n"/>
      <c r="AH5" s="9" t="n"/>
      <c r="AI5" s="9" t="n"/>
      <c r="AJ5" t="inlineStr">
        <is>
          <t>da</t>
        </is>
      </c>
      <c r="AL5" t="inlineStr">
        <is>
          <t>NUTS 2024</t>
        </is>
      </c>
      <c r="AM5" t="inlineStr">
        <is>
          <t>RO2</t>
        </is>
      </c>
      <c r="AN5" t="inlineStr">
        <is>
          <t>Macroregiunea Doi</t>
        </is>
      </c>
      <c r="AO5" t="inlineStr">
        <is>
          <t>RO21</t>
        </is>
      </c>
      <c r="AP5" t="inlineStr">
        <is>
          <t>Nord-Est</t>
        </is>
      </c>
      <c r="AQ5" t="inlineStr">
        <is>
          <t>RO211</t>
        </is>
      </c>
      <c r="AR5" t="inlineStr">
        <is>
          <t>Bacău</t>
        </is>
      </c>
      <c r="AS5" s="9" t="n"/>
      <c r="AT5" t="inlineStr">
        <is>
          <t>full_year_not_available</t>
        </is>
      </c>
      <c r="AU5" s="9" t="n"/>
      <c r="AV5" s="9" t="n"/>
    </row>
    <row r="6">
      <c r="A6" t="n">
        <v>2026</v>
      </c>
      <c r="B6" t="inlineStr">
        <is>
          <t>26564</t>
        </is>
      </c>
      <c r="C6" t="inlineStr">
        <is>
          <t>Oradea</t>
        </is>
      </c>
      <c r="D6" t="inlineStr">
        <is>
          <t>Bihor</t>
        </is>
      </c>
      <c r="E6" t="inlineStr">
        <is>
          <t>da</t>
        </is>
      </c>
      <c r="G6" t="inlineStr">
        <is>
          <t>verified</t>
        </is>
      </c>
      <c r="H6" s="5" t="n">
        <v>93.7</v>
      </c>
      <c r="I6" t="inlineStr">
        <is>
          <t>nu</t>
        </is>
      </c>
      <c r="J6" s="6" t="n">
        <v>183105</v>
      </c>
      <c r="K6" t="inlineStr">
        <is>
          <t>2021-12-01</t>
        </is>
      </c>
      <c r="L6" s="7" t="n">
        <v>116.1</v>
      </c>
      <c r="M6" s="7">
        <f>IFERROR(J6/L6,"")</f>
        <v/>
      </c>
      <c r="N6" s="7" t="n"/>
      <c r="O6" s="7" t="n">
        <v>1879752.4</v>
      </c>
      <c r="P6" s="7">
        <f>IF(OR($E6&lt;&gt;"da",N6="",O6=""),"",N6-O6)</f>
        <v/>
      </c>
      <c r="Q6" s="7">
        <f>IF(OR($E6&lt;&gt;"da",N6=""),"",IFERROR(N6*1000/J6,""))</f>
        <v/>
      </c>
      <c r="R6" s="7">
        <f>IF(OR($E6&lt;&gt;"da",O6=""),"",IFERROR(O6*1000/J6,""))</f>
        <v/>
      </c>
      <c r="S6" s="7">
        <f>IF(OR($E6&lt;&gt;"da",P6=""),"",IFERROR(P6*1000/J6,""))</f>
        <v/>
      </c>
      <c r="T6" s="8" t="n">
        <v>2</v>
      </c>
      <c r="U6" s="8" t="n">
        <v>9</v>
      </c>
      <c r="V6" s="8" t="n">
        <v>2</v>
      </c>
      <c r="W6" t="inlineStr">
        <is>
          <t>2026-06-30</t>
        </is>
      </c>
      <c r="X6" s="7" t="n">
        <v>960304.72981</v>
      </c>
      <c r="Y6" s="7" t="n">
        <v>755875.19863</v>
      </c>
      <c r="Z6" s="7">
        <f>IF(OR(X6="",Y6=""),"",X6-Y6)</f>
        <v/>
      </c>
      <c r="AA6" s="7">
        <f>IF(OR($AJ6&lt;&gt;"da",X6=""),"",IFERROR(X6*1000/J6,""))</f>
        <v/>
      </c>
      <c r="AB6" s="7">
        <f>IF(OR($AJ6&lt;&gt;"da",Y6=""),"",IFERROR(Y6*1000/J6,""))</f>
        <v/>
      </c>
      <c r="AC6" s="7">
        <f>IF(OR($AJ6&lt;&gt;"da",Z6=""),"",IFERROR(Z6*1000/J6,""))</f>
        <v/>
      </c>
      <c r="AD6" s="8" t="n">
        <v>5</v>
      </c>
      <c r="AE6" s="8" t="n">
        <v>41</v>
      </c>
      <c r="AF6" s="9" t="n"/>
      <c r="AG6" s="9" t="n">
        <v>40.2</v>
      </c>
      <c r="AH6" s="9" t="n"/>
      <c r="AI6" s="9" t="n">
        <v>-25.77</v>
      </c>
      <c r="AJ6" t="inlineStr">
        <is>
          <t>da</t>
        </is>
      </c>
      <c r="AL6" t="inlineStr">
        <is>
          <t>NUTS 2024</t>
        </is>
      </c>
      <c r="AM6" t="inlineStr">
        <is>
          <t>RO1</t>
        </is>
      </c>
      <c r="AN6" t="inlineStr">
        <is>
          <t>Macroregiunea Unu</t>
        </is>
      </c>
      <c r="AO6" t="inlineStr">
        <is>
          <t>RO11</t>
        </is>
      </c>
      <c r="AP6" t="inlineStr">
        <is>
          <t>Nord-Vest</t>
        </is>
      </c>
      <c r="AQ6" t="inlineStr">
        <is>
          <t>RO111</t>
        </is>
      </c>
      <c r="AR6" t="inlineStr">
        <is>
          <t>Bihor</t>
        </is>
      </c>
      <c r="AS6" s="9" t="n"/>
      <c r="AT6" t="inlineStr">
        <is>
          <t>full_year_not_available</t>
        </is>
      </c>
      <c r="AU6" s="9" t="n"/>
      <c r="AV6" s="9" t="n"/>
    </row>
    <row r="7">
      <c r="A7" t="n">
        <v>2026</v>
      </c>
      <c r="B7" t="inlineStr">
        <is>
          <t>32394</t>
        </is>
      </c>
      <c r="C7" t="inlineStr">
        <is>
          <t>Bistrița</t>
        </is>
      </c>
      <c r="D7" t="inlineStr">
        <is>
          <t>Bistrița-Năsăud</t>
        </is>
      </c>
      <c r="E7" t="inlineStr">
        <is>
          <t>nu</t>
        </is>
      </c>
      <c r="F7" t="inlineStr">
        <is>
          <t>total_cheltuieli_lipsa</t>
        </is>
      </c>
      <c r="G7" t="inlineStr">
        <is>
          <t>verified</t>
        </is>
      </c>
      <c r="H7" s="5" t="n">
        <v>77.8</v>
      </c>
      <c r="I7" t="inlineStr">
        <is>
          <t>nu</t>
        </is>
      </c>
      <c r="J7" s="6" t="n">
        <v>78877</v>
      </c>
      <c r="K7" t="inlineStr">
        <is>
          <t>2021-12-01</t>
        </is>
      </c>
      <c r="L7" s="7" t="n">
        <v>145.47</v>
      </c>
      <c r="M7" s="7">
        <f>IFERROR(J7/L7,"")</f>
        <v/>
      </c>
      <c r="N7" s="7" t="n"/>
      <c r="O7" s="7" t="n"/>
      <c r="P7" s="7">
        <f>IF(OR($E7&lt;&gt;"da",N7="",O7=""),"",N7-O7)</f>
        <v/>
      </c>
      <c r="Q7" s="7">
        <f>IF(OR($E7&lt;&gt;"da",N7=""),"",IFERROR(N7*1000/J7,""))</f>
        <v/>
      </c>
      <c r="R7" s="7">
        <f>IF(OR($E7&lt;&gt;"da",O7=""),"",IFERROR(O7*1000/J7,""))</f>
        <v/>
      </c>
      <c r="S7" s="7">
        <f>IF(OR($E7&lt;&gt;"da",P7=""),"",IFERROR(P7*1000/J7,""))</f>
        <v/>
      </c>
      <c r="T7" s="8" t="n"/>
      <c r="U7" s="8" t="n"/>
      <c r="V7" s="8" t="n">
        <v>2</v>
      </c>
      <c r="W7" t="inlineStr">
        <is>
          <t>2026-06-30</t>
        </is>
      </c>
      <c r="X7" s="7" t="n">
        <v>308360.96733</v>
      </c>
      <c r="Y7" s="7" t="n">
        <v>234210.15502</v>
      </c>
      <c r="Z7" s="7">
        <f>IF(OR(X7="",Y7=""),"",X7-Y7)</f>
        <v/>
      </c>
      <c r="AA7" s="7">
        <f>IF(OR($AJ7&lt;&gt;"da",X7=""),"",IFERROR(X7*1000/J7,""))</f>
        <v/>
      </c>
      <c r="AB7" s="7">
        <f>IF(OR($AJ7&lt;&gt;"da",Y7=""),"",IFERROR(Y7*1000/J7,""))</f>
        <v/>
      </c>
      <c r="AC7" s="7">
        <f>IF(OR($AJ7&lt;&gt;"da",Z7=""),"",IFERROR(Z7*1000/J7,""))</f>
        <v/>
      </c>
      <c r="AD7" s="8" t="n">
        <v>22</v>
      </c>
      <c r="AE7" s="8" t="n">
        <v>41</v>
      </c>
      <c r="AF7" s="9" t="n"/>
      <c r="AG7" s="9" t="n"/>
      <c r="AH7" s="9" t="n"/>
      <c r="AI7" s="9" t="n"/>
      <c r="AJ7" t="inlineStr">
        <is>
          <t>da</t>
        </is>
      </c>
      <c r="AL7" t="inlineStr">
        <is>
          <t>NUTS 2024</t>
        </is>
      </c>
      <c r="AM7" t="inlineStr">
        <is>
          <t>RO1</t>
        </is>
      </c>
      <c r="AN7" t="inlineStr">
        <is>
          <t>Macroregiunea Unu</t>
        </is>
      </c>
      <c r="AO7" t="inlineStr">
        <is>
          <t>RO11</t>
        </is>
      </c>
      <c r="AP7" t="inlineStr">
        <is>
          <t>Nord-Vest</t>
        </is>
      </c>
      <c r="AQ7" t="inlineStr">
        <is>
          <t>RO112</t>
        </is>
      </c>
      <c r="AR7" t="inlineStr">
        <is>
          <t>Bistrița-Năsăud</t>
        </is>
      </c>
      <c r="AS7" s="9" t="n"/>
      <c r="AT7" t="inlineStr">
        <is>
          <t>full_year_not_available</t>
        </is>
      </c>
      <c r="AU7" s="9" t="n"/>
      <c r="AV7" s="9" t="n"/>
    </row>
    <row r="8">
      <c r="A8" t="n">
        <v>2026</v>
      </c>
      <c r="B8" t="inlineStr">
        <is>
          <t>35731</t>
        </is>
      </c>
      <c r="C8" t="inlineStr">
        <is>
          <t>Botoșani</t>
        </is>
      </c>
      <c r="D8" t="inlineStr">
        <is>
          <t>Botoșani</t>
        </is>
      </c>
      <c r="E8" t="inlineStr">
        <is>
          <t>da</t>
        </is>
      </c>
      <c r="G8" t="inlineStr">
        <is>
          <t>verified</t>
        </is>
      </c>
      <c r="H8" s="5" t="n">
        <v>64.09999999999999</v>
      </c>
      <c r="I8" t="inlineStr">
        <is>
          <t>nu</t>
        </is>
      </c>
      <c r="J8" s="6" t="n">
        <v>90010</v>
      </c>
      <c r="K8" t="inlineStr">
        <is>
          <t>2021-12-01</t>
        </is>
      </c>
      <c r="L8" s="7" t="n">
        <v>41.36</v>
      </c>
      <c r="M8" s="7">
        <f>IFERROR(J8/L8,"")</f>
        <v/>
      </c>
      <c r="N8" s="7" t="n"/>
      <c r="O8" s="7" t="n">
        <v>557751.5699999999</v>
      </c>
      <c r="P8" s="7">
        <f>IF(OR($E8&lt;&gt;"da",N8="",O8=""),"",N8-O8)</f>
        <v/>
      </c>
      <c r="Q8" s="7">
        <f>IF(OR($E8&lt;&gt;"da",N8=""),"",IFERROR(N8*1000/J8,""))</f>
        <v/>
      </c>
      <c r="R8" s="7">
        <f>IF(OR($E8&lt;&gt;"da",O8=""),"",IFERROR(O8*1000/J8,""))</f>
        <v/>
      </c>
      <c r="S8" s="7">
        <f>IF(OR($E8&lt;&gt;"da",P8=""),"",IFERROR(P8*1000/J8,""))</f>
        <v/>
      </c>
      <c r="T8" s="8" t="n">
        <v>8</v>
      </c>
      <c r="U8" s="8" t="n">
        <v>9</v>
      </c>
      <c r="V8" s="8" t="n">
        <v>2</v>
      </c>
      <c r="W8" t="inlineStr">
        <is>
          <t>2026-06-30</t>
        </is>
      </c>
      <c r="X8" s="7" t="n">
        <v>362871.8694</v>
      </c>
      <c r="Y8" s="7" t="n">
        <v>310670.28833</v>
      </c>
      <c r="Z8" s="7">
        <f>IF(OR(X8="",Y8=""),"",X8-Y8)</f>
        <v/>
      </c>
      <c r="AA8" s="7">
        <f>IF(OR($AJ8&lt;&gt;"da",X8=""),"",IFERROR(X8*1000/J8,""))</f>
        <v/>
      </c>
      <c r="AB8" s="7">
        <f>IF(OR($AJ8&lt;&gt;"da",Y8=""),"",IFERROR(Y8*1000/J8,""))</f>
        <v/>
      </c>
      <c r="AC8" s="7">
        <f>IF(OR($AJ8&lt;&gt;"da",Z8=""),"",IFERROR(Z8*1000/J8,""))</f>
        <v/>
      </c>
      <c r="AD8" s="8" t="n">
        <v>12</v>
      </c>
      <c r="AE8" s="8" t="n">
        <v>41</v>
      </c>
      <c r="AF8" s="9" t="n"/>
      <c r="AG8" s="9" t="n">
        <v>55.7</v>
      </c>
      <c r="AH8" s="9" t="n"/>
      <c r="AI8" s="9" t="n">
        <v>78.23999999999999</v>
      </c>
      <c r="AJ8" t="inlineStr">
        <is>
          <t>da</t>
        </is>
      </c>
      <c r="AL8" t="inlineStr">
        <is>
          <t>NUTS 2024</t>
        </is>
      </c>
      <c r="AM8" t="inlineStr">
        <is>
          <t>RO2</t>
        </is>
      </c>
      <c r="AN8" t="inlineStr">
        <is>
          <t>Macroregiunea Doi</t>
        </is>
      </c>
      <c r="AO8" t="inlineStr">
        <is>
          <t>RO21</t>
        </is>
      </c>
      <c r="AP8" t="inlineStr">
        <is>
          <t>Nord-Est</t>
        </is>
      </c>
      <c r="AQ8" t="inlineStr">
        <is>
          <t>RO212</t>
        </is>
      </c>
      <c r="AR8" t="inlineStr">
        <is>
          <t>Botoșani</t>
        </is>
      </c>
      <c r="AS8" s="9" t="n"/>
      <c r="AT8" t="inlineStr">
        <is>
          <t>full_year_not_available</t>
        </is>
      </c>
      <c r="AU8" s="9" t="n"/>
      <c r="AV8" s="9" t="n"/>
    </row>
    <row r="9">
      <c r="A9" t="n">
        <v>2026</v>
      </c>
      <c r="B9" t="inlineStr">
        <is>
          <t>40198</t>
        </is>
      </c>
      <c r="C9" t="inlineStr">
        <is>
          <t>Brașov</t>
        </is>
      </c>
      <c r="D9" t="inlineStr">
        <is>
          <t>Brașov</t>
        </is>
      </c>
      <c r="E9" t="inlineStr">
        <is>
          <t>da</t>
        </is>
      </c>
      <c r="G9" t="inlineStr">
        <is>
          <t>verified</t>
        </is>
      </c>
      <c r="H9" s="5" t="n">
        <v>96.5</v>
      </c>
      <c r="I9" t="inlineStr">
        <is>
          <t>nu</t>
        </is>
      </c>
      <c r="J9" s="6" t="n">
        <v>237589</v>
      </c>
      <c r="K9" t="inlineStr">
        <is>
          <t>2021-12-01</t>
        </is>
      </c>
      <c r="L9" s="7" t="n">
        <v>267</v>
      </c>
      <c r="M9" s="7">
        <f>IFERROR(J9/L9,"")</f>
        <v/>
      </c>
      <c r="N9" s="7" t="n">
        <v>1006716.06</v>
      </c>
      <c r="O9" s="7" t="n">
        <v>1599854.11</v>
      </c>
      <c r="P9" s="7">
        <f>IF(OR($E9&lt;&gt;"da",N9="",O9=""),"",N9-O9)</f>
        <v/>
      </c>
      <c r="Q9" s="7">
        <f>IF(OR($E9&lt;&gt;"da",N9=""),"",IFERROR(N9*1000/J9,""))</f>
        <v/>
      </c>
      <c r="R9" s="7">
        <f>IF(OR($E9&lt;&gt;"da",O9=""),"",IFERROR(O9*1000/J9,""))</f>
        <v/>
      </c>
      <c r="S9" s="7">
        <f>IF(OR($E9&lt;&gt;"da",P9=""),"",IFERROR(P9*1000/J9,""))</f>
        <v/>
      </c>
      <c r="T9" s="8" t="n">
        <v>7</v>
      </c>
      <c r="U9" s="8" t="n">
        <v>9</v>
      </c>
      <c r="V9" s="8" t="n">
        <v>2</v>
      </c>
      <c r="W9" t="inlineStr">
        <is>
          <t>2026-06-30</t>
        </is>
      </c>
      <c r="X9" s="7" t="n">
        <v>886180.76963</v>
      </c>
      <c r="Y9" s="7" t="n">
        <v>577422.26902</v>
      </c>
      <c r="Z9" s="7">
        <f>IF(OR(X9="",Y9=""),"",X9-Y9)</f>
        <v/>
      </c>
      <c r="AA9" s="7">
        <f>IF(OR($AJ9&lt;&gt;"da",X9=""),"",IFERROR(X9*1000/J9,""))</f>
        <v/>
      </c>
      <c r="AB9" s="7">
        <f>IF(OR($AJ9&lt;&gt;"da",Y9=""),"",IFERROR(Y9*1000/J9,""))</f>
        <v/>
      </c>
      <c r="AC9" s="7">
        <f>IF(OR($AJ9&lt;&gt;"da",Z9=""),"",IFERROR(Z9*1000/J9,""))</f>
        <v/>
      </c>
      <c r="AD9" s="8" t="n">
        <v>34</v>
      </c>
      <c r="AE9" s="8" t="n">
        <v>41</v>
      </c>
      <c r="AF9" s="9" t="n">
        <v>88</v>
      </c>
      <c r="AG9" s="9" t="n">
        <v>36.1</v>
      </c>
      <c r="AH9" s="9" t="n">
        <v>42.31</v>
      </c>
      <c r="AI9" s="9" t="n">
        <v>-16.85</v>
      </c>
      <c r="AJ9" t="inlineStr">
        <is>
          <t>da</t>
        </is>
      </c>
      <c r="AL9" t="inlineStr">
        <is>
          <t>NUTS 2024</t>
        </is>
      </c>
      <c r="AM9" t="inlineStr">
        <is>
          <t>RO1</t>
        </is>
      </c>
      <c r="AN9" t="inlineStr">
        <is>
          <t>Macroregiunea Unu</t>
        </is>
      </c>
      <c r="AO9" t="inlineStr">
        <is>
          <t>RO12</t>
        </is>
      </c>
      <c r="AP9" t="inlineStr">
        <is>
          <t>Centru</t>
        </is>
      </c>
      <c r="AQ9" t="inlineStr">
        <is>
          <t>RO122</t>
        </is>
      </c>
      <c r="AR9" t="inlineStr">
        <is>
          <t>Brașov</t>
        </is>
      </c>
      <c r="AS9" s="9" t="n"/>
      <c r="AT9" t="inlineStr">
        <is>
          <t>full_year_not_available</t>
        </is>
      </c>
      <c r="AU9" s="9" t="n"/>
      <c r="AV9" s="9" t="n"/>
    </row>
    <row r="10">
      <c r="A10" t="n">
        <v>2026</v>
      </c>
      <c r="B10" t="inlineStr">
        <is>
          <t>42682</t>
        </is>
      </c>
      <c r="C10" t="inlineStr">
        <is>
          <t>Brăila</t>
        </is>
      </c>
      <c r="D10" t="inlineStr">
        <is>
          <t>Brăila</t>
        </is>
      </c>
      <c r="E10" t="inlineStr">
        <is>
          <t>da</t>
        </is>
      </c>
      <c r="G10" t="inlineStr">
        <is>
          <t>verified</t>
        </is>
      </c>
      <c r="H10" s="5" t="n">
        <v>72.09999999999999</v>
      </c>
      <c r="I10" t="inlineStr">
        <is>
          <t>nu</t>
        </is>
      </c>
      <c r="J10" s="6" t="n">
        <v>154686</v>
      </c>
      <c r="K10" t="inlineStr">
        <is>
          <t>2021-12-01</t>
        </is>
      </c>
      <c r="L10" s="7" t="n">
        <v>77.90000000000001</v>
      </c>
      <c r="M10" s="7">
        <f>IFERROR(J10/L10,"")</f>
        <v/>
      </c>
      <c r="N10" s="7" t="n">
        <v>863892.1899999999</v>
      </c>
      <c r="O10" s="7" t="n">
        <v>550564.87</v>
      </c>
      <c r="P10" s="7">
        <f>IF(OR($E10&lt;&gt;"da",N10="",O10=""),"",N10-O10)</f>
        <v/>
      </c>
      <c r="Q10" s="7">
        <f>IF(OR($E10&lt;&gt;"da",N10=""),"",IFERROR(N10*1000/J10,""))</f>
        <v/>
      </c>
      <c r="R10" s="7">
        <f>IF(OR($E10&lt;&gt;"da",O10=""),"",IFERROR(O10*1000/J10,""))</f>
        <v/>
      </c>
      <c r="S10" s="7">
        <f>IF(OR($E10&lt;&gt;"da",P10=""),"",IFERROR(P10*1000/J10,""))</f>
        <v/>
      </c>
      <c r="T10" s="8" t="n">
        <v>9</v>
      </c>
      <c r="U10" s="8" t="n">
        <v>9</v>
      </c>
      <c r="V10" s="8" t="n">
        <v>2</v>
      </c>
      <c r="W10" t="inlineStr">
        <is>
          <t>2026-06-30</t>
        </is>
      </c>
      <c r="X10" s="7" t="n">
        <v>338737.56562</v>
      </c>
      <c r="Y10" s="7" t="n">
        <v>305092.97385</v>
      </c>
      <c r="Z10" s="7">
        <f>IF(OR(X10="",Y10=""),"",X10-Y10)</f>
        <v/>
      </c>
      <c r="AA10" s="7">
        <f>IF(OR($AJ10&lt;&gt;"da",X10=""),"",IFERROR(X10*1000/J10,""))</f>
        <v/>
      </c>
      <c r="AB10" s="7">
        <f>IF(OR($AJ10&lt;&gt;"da",Y10=""),"",IFERROR(Y10*1000/J10,""))</f>
        <v/>
      </c>
      <c r="AC10" s="7">
        <f>IF(OR($AJ10&lt;&gt;"da",Z10=""),"",IFERROR(Z10*1000/J10,""))</f>
        <v/>
      </c>
      <c r="AD10" s="8" t="n">
        <v>40</v>
      </c>
      <c r="AE10" s="8" t="n">
        <v>41</v>
      </c>
      <c r="AF10" s="9" t="n">
        <v>39.2</v>
      </c>
      <c r="AG10" s="9" t="n">
        <v>55.4</v>
      </c>
      <c r="AH10" s="9" t="n">
        <v>3.86</v>
      </c>
      <c r="AI10" s="9" t="n">
        <v>-35.93</v>
      </c>
      <c r="AJ10" t="inlineStr">
        <is>
          <t>da</t>
        </is>
      </c>
      <c r="AL10" t="inlineStr">
        <is>
          <t>NUTS 2024</t>
        </is>
      </c>
      <c r="AM10" t="inlineStr">
        <is>
          <t>RO2</t>
        </is>
      </c>
      <c r="AN10" t="inlineStr">
        <is>
          <t>Macroregiunea Doi</t>
        </is>
      </c>
      <c r="AO10" t="inlineStr">
        <is>
          <t>RO22</t>
        </is>
      </c>
      <c r="AP10" t="inlineStr">
        <is>
          <t>Sud-Est</t>
        </is>
      </c>
      <c r="AQ10" t="inlineStr">
        <is>
          <t>RO221</t>
        </is>
      </c>
      <c r="AR10" t="inlineStr">
        <is>
          <t>Brăila</t>
        </is>
      </c>
      <c r="AS10" s="9" t="n"/>
      <c r="AT10" t="inlineStr">
        <is>
          <t>full_year_not_available</t>
        </is>
      </c>
      <c r="AU10" s="9" t="n"/>
      <c r="AV10" s="9" t="n"/>
    </row>
    <row r="11">
      <c r="A11" t="n">
        <v>2026</v>
      </c>
      <c r="B11" t="inlineStr">
        <is>
          <t>44818</t>
        </is>
      </c>
      <c r="C11" t="inlineStr">
        <is>
          <t>Buzău</t>
        </is>
      </c>
      <c r="D11" t="inlineStr">
        <is>
          <t>Buzău</t>
        </is>
      </c>
      <c r="E11" t="inlineStr">
        <is>
          <t>nu</t>
        </is>
      </c>
      <c r="F11" t="inlineStr">
        <is>
          <t>total_cheltuieli_lipsa</t>
        </is>
      </c>
      <c r="G11" t="inlineStr">
        <is>
          <t>verified</t>
        </is>
      </c>
      <c r="H11" s="5" t="n">
        <v>65.2</v>
      </c>
      <c r="I11" t="inlineStr">
        <is>
          <t>nu</t>
        </is>
      </c>
      <c r="J11" s="6" t="n">
        <v>103481</v>
      </c>
      <c r="K11" t="inlineStr">
        <is>
          <t>2021-12-01</t>
        </is>
      </c>
      <c r="L11" s="7" t="n">
        <v>81.3</v>
      </c>
      <c r="M11" s="7">
        <f>IFERROR(J11/L11,"")</f>
        <v/>
      </c>
      <c r="N11" s="7" t="n">
        <v>832952.64</v>
      </c>
      <c r="O11" s="7" t="n"/>
      <c r="P11" s="7">
        <f>IF(OR($E11&lt;&gt;"da",N11="",O11=""),"",N11-O11)</f>
        <v/>
      </c>
      <c r="Q11" s="7">
        <f>IF(OR($E11&lt;&gt;"da",N11=""),"",IFERROR(N11*1000/J11,""))</f>
        <v/>
      </c>
      <c r="R11" s="7">
        <f>IF(OR($E11&lt;&gt;"da",O11=""),"",IFERROR(O11*1000/J11,""))</f>
        <v/>
      </c>
      <c r="S11" s="7">
        <f>IF(OR($E11&lt;&gt;"da",P11=""),"",IFERROR(P11*1000/J11,""))</f>
        <v/>
      </c>
      <c r="T11" s="8" t="n"/>
      <c r="U11" s="8" t="n"/>
      <c r="V11" s="8" t="n">
        <v>2</v>
      </c>
      <c r="W11" t="inlineStr">
        <is>
          <t>2026-06-30</t>
        </is>
      </c>
      <c r="X11" s="7" t="n">
        <v>362434.67336</v>
      </c>
      <c r="Y11" s="7" t="n">
        <v>318030.34349</v>
      </c>
      <c r="Z11" s="7">
        <f>IF(OR(X11="",Y11=""),"",X11-Y11)</f>
        <v/>
      </c>
      <c r="AA11" s="7">
        <f>IF(OR($AJ11&lt;&gt;"da",X11=""),"",IFERROR(X11*1000/J11,""))</f>
        <v/>
      </c>
      <c r="AB11" s="7">
        <f>IF(OR($AJ11&lt;&gt;"da",Y11=""),"",IFERROR(Y11*1000/J11,""))</f>
        <v/>
      </c>
      <c r="AC11" s="7">
        <f>IF(OR($AJ11&lt;&gt;"da",Z11=""),"",IFERROR(Z11*1000/J11,""))</f>
        <v/>
      </c>
      <c r="AD11" s="8" t="n">
        <v>19</v>
      </c>
      <c r="AE11" s="8" t="n">
        <v>41</v>
      </c>
      <c r="AF11" s="9" t="n"/>
      <c r="AG11" s="9" t="n"/>
      <c r="AH11" s="9" t="n"/>
      <c r="AI11" s="9" t="n"/>
      <c r="AJ11" t="inlineStr">
        <is>
          <t>da</t>
        </is>
      </c>
      <c r="AL11" t="inlineStr">
        <is>
          <t>NUTS 2024</t>
        </is>
      </c>
      <c r="AM11" t="inlineStr">
        <is>
          <t>RO2</t>
        </is>
      </c>
      <c r="AN11" t="inlineStr">
        <is>
          <t>Macroregiunea Doi</t>
        </is>
      </c>
      <c r="AO11" t="inlineStr">
        <is>
          <t>RO22</t>
        </is>
      </c>
      <c r="AP11" t="inlineStr">
        <is>
          <t>Sud-Est</t>
        </is>
      </c>
      <c r="AQ11" t="inlineStr">
        <is>
          <t>RO222</t>
        </is>
      </c>
      <c r="AR11" t="inlineStr">
        <is>
          <t>Buzău</t>
        </is>
      </c>
      <c r="AS11" s="9" t="n"/>
      <c r="AT11" t="inlineStr">
        <is>
          <t>full_year_not_available</t>
        </is>
      </c>
      <c r="AU11" s="9" t="n"/>
      <c r="AV11" s="9" t="n"/>
    </row>
    <row r="12">
      <c r="A12" t="n">
        <v>2026</v>
      </c>
      <c r="B12" t="inlineStr">
        <is>
          <t>50790</t>
        </is>
      </c>
      <c r="C12" t="inlineStr">
        <is>
          <t>Reșița</t>
        </is>
      </c>
      <c r="D12" t="inlineStr">
        <is>
          <t>Caraș-Severin</t>
        </is>
      </c>
      <c r="E12" t="inlineStr">
        <is>
          <t>nu</t>
        </is>
      </c>
      <c r="F12" t="inlineStr">
        <is>
          <t>status_missing_pdf</t>
        </is>
      </c>
      <c r="H12" s="5" t="n"/>
      <c r="J12" s="6" t="n">
        <v>58393</v>
      </c>
      <c r="K12" t="inlineStr">
        <is>
          <t>2021-12-01</t>
        </is>
      </c>
      <c r="L12" s="7" t="n">
        <v>197.65</v>
      </c>
      <c r="M12" s="7">
        <f>IFERROR(J12/L12,"")</f>
        <v/>
      </c>
      <c r="N12" s="7" t="n"/>
      <c r="O12" s="7" t="n"/>
      <c r="P12" s="7">
        <f>IF(OR($E12&lt;&gt;"da",N12="",O12=""),"",N12-O12)</f>
        <v/>
      </c>
      <c r="Q12" s="7">
        <f>IF(OR($E12&lt;&gt;"da",N12=""),"",IFERROR(N12*1000/J12,""))</f>
        <v/>
      </c>
      <c r="R12" s="7">
        <f>IF(OR($E12&lt;&gt;"da",O12=""),"",IFERROR(O12*1000/J12,""))</f>
        <v/>
      </c>
      <c r="S12" s="7">
        <f>IF(OR($E12&lt;&gt;"da",P12=""),"",IFERROR(P12*1000/J12,""))</f>
        <v/>
      </c>
      <c r="T12" s="8" t="n"/>
      <c r="U12" s="8" t="n"/>
      <c r="V12" s="8" t="n">
        <v>2</v>
      </c>
      <c r="W12" t="inlineStr">
        <is>
          <t>2026-06-30</t>
        </is>
      </c>
      <c r="X12" s="7" t="n">
        <v>226563.633</v>
      </c>
      <c r="Y12" s="7" t="n">
        <v>211475.2076</v>
      </c>
      <c r="Z12" s="7">
        <f>IF(OR(X12="",Y12=""),"",X12-Y12)</f>
        <v/>
      </c>
      <c r="AA12" s="7">
        <f>IF(OR($AJ12&lt;&gt;"da",X12=""),"",IFERROR(X12*1000/J12,""))</f>
        <v/>
      </c>
      <c r="AB12" s="7">
        <f>IF(OR($AJ12&lt;&gt;"da",Y12=""),"",IFERROR(Y12*1000/J12,""))</f>
        <v/>
      </c>
      <c r="AC12" s="7">
        <f>IF(OR($AJ12&lt;&gt;"da",Z12=""),"",IFERROR(Z12*1000/J12,""))</f>
        <v/>
      </c>
      <c r="AD12" s="8" t="n">
        <v>10</v>
      </c>
      <c r="AE12" s="8" t="n">
        <v>41</v>
      </c>
      <c r="AF12" s="9" t="n"/>
      <c r="AG12" s="9" t="n"/>
      <c r="AH12" s="9" t="n"/>
      <c r="AI12" s="9" t="n"/>
      <c r="AJ12" t="inlineStr">
        <is>
          <t>da</t>
        </is>
      </c>
      <c r="AL12" t="inlineStr">
        <is>
          <t>NUTS 2024</t>
        </is>
      </c>
      <c r="AM12" t="inlineStr">
        <is>
          <t>RO4</t>
        </is>
      </c>
      <c r="AN12" t="inlineStr">
        <is>
          <t>Macroregiunea Patru</t>
        </is>
      </c>
      <c r="AO12" t="inlineStr">
        <is>
          <t>RO42</t>
        </is>
      </c>
      <c r="AP12" t="inlineStr">
        <is>
          <t>Vest</t>
        </is>
      </c>
      <c r="AQ12" t="inlineStr">
        <is>
          <t>RO422</t>
        </is>
      </c>
      <c r="AR12" t="inlineStr">
        <is>
          <t>Caraș-Severin</t>
        </is>
      </c>
      <c r="AS12" s="9" t="n"/>
      <c r="AT12" t="inlineStr">
        <is>
          <t>full_year_not_available</t>
        </is>
      </c>
      <c r="AU12" s="9" t="n"/>
      <c r="AV12" s="9" t="n"/>
    </row>
    <row r="13">
      <c r="A13" t="n">
        <v>2026</v>
      </c>
      <c r="B13" t="inlineStr">
        <is>
          <t>92569</t>
        </is>
      </c>
      <c r="C13" t="inlineStr">
        <is>
          <t>Călărași</t>
        </is>
      </c>
      <c r="D13" t="inlineStr">
        <is>
          <t>Călărași</t>
        </is>
      </c>
      <c r="E13" t="inlineStr">
        <is>
          <t>nu</t>
        </is>
      </c>
      <c r="F13" t="inlineStr">
        <is>
          <t>total_cheltuieli_lipsa</t>
        </is>
      </c>
      <c r="G13" t="inlineStr">
        <is>
          <t>verified</t>
        </is>
      </c>
      <c r="H13" s="5" t="n">
        <v>49.4</v>
      </c>
      <c r="I13" t="inlineStr">
        <is>
          <t>nu</t>
        </is>
      </c>
      <c r="J13" s="6" t="n">
        <v>58211</v>
      </c>
      <c r="K13" t="inlineStr">
        <is>
          <t>2021-12-01</t>
        </is>
      </c>
      <c r="L13" s="7" t="n">
        <v>133.22</v>
      </c>
      <c r="M13" s="7">
        <f>IFERROR(J13/L13,"")</f>
        <v/>
      </c>
      <c r="N13" s="7" t="n">
        <v>225165</v>
      </c>
      <c r="O13" s="7" t="n"/>
      <c r="P13" s="7">
        <f>IF(OR($E13&lt;&gt;"da",N13="",O13=""),"",N13-O13)</f>
        <v/>
      </c>
      <c r="Q13" s="7">
        <f>IF(OR($E13&lt;&gt;"da",N13=""),"",IFERROR(N13*1000/J13,""))</f>
        <v/>
      </c>
      <c r="R13" s="7">
        <f>IF(OR($E13&lt;&gt;"da",O13=""),"",IFERROR(O13*1000/J13,""))</f>
        <v/>
      </c>
      <c r="S13" s="7">
        <f>IF(OR($E13&lt;&gt;"da",P13=""),"",IFERROR(P13*1000/J13,""))</f>
        <v/>
      </c>
      <c r="T13" s="8" t="n"/>
      <c r="U13" s="8" t="n"/>
      <c r="V13" s="8" t="n">
        <v>2</v>
      </c>
      <c r="W13" t="inlineStr">
        <is>
          <t>2026-06-30</t>
        </is>
      </c>
      <c r="X13" s="7" t="n">
        <v>140519.72505</v>
      </c>
      <c r="Y13" s="7" t="n">
        <v>118541.02708</v>
      </c>
      <c r="Z13" s="7">
        <f>IF(OR(X13="",Y13=""),"",X13-Y13)</f>
        <v/>
      </c>
      <c r="AA13" s="7">
        <f>IF(OR($AJ13&lt;&gt;"da",X13=""),"",IFERROR(X13*1000/J13,""))</f>
        <v/>
      </c>
      <c r="AB13" s="7">
        <f>IF(OR($AJ13&lt;&gt;"da",Y13=""),"",IFERROR(Y13*1000/J13,""))</f>
        <v/>
      </c>
      <c r="AC13" s="7">
        <f>IF(OR($AJ13&lt;&gt;"da",Z13=""),"",IFERROR(Z13*1000/J13,""))</f>
        <v/>
      </c>
      <c r="AD13" s="8" t="n">
        <v>38</v>
      </c>
      <c r="AE13" s="8" t="n">
        <v>41</v>
      </c>
      <c r="AF13" s="9" t="n"/>
      <c r="AG13" s="9" t="n"/>
      <c r="AH13" s="9" t="n"/>
      <c r="AI13" s="9" t="n"/>
      <c r="AJ13" t="inlineStr">
        <is>
          <t>da</t>
        </is>
      </c>
      <c r="AL13" t="inlineStr">
        <is>
          <t>NUTS 2024</t>
        </is>
      </c>
      <c r="AM13" t="inlineStr">
        <is>
          <t>RO3</t>
        </is>
      </c>
      <c r="AN13" t="inlineStr">
        <is>
          <t>Macroregiunea Trei</t>
        </is>
      </c>
      <c r="AO13" t="inlineStr">
        <is>
          <t>RO31</t>
        </is>
      </c>
      <c r="AP13" t="inlineStr">
        <is>
          <t>Sud-Muntenia</t>
        </is>
      </c>
      <c r="AQ13" t="inlineStr">
        <is>
          <t>RO312</t>
        </is>
      </c>
      <c r="AR13" t="inlineStr">
        <is>
          <t>Călărași</t>
        </is>
      </c>
      <c r="AS13" s="9" t="n"/>
      <c r="AT13" t="inlineStr">
        <is>
          <t>full_year_not_available</t>
        </is>
      </c>
      <c r="AU13" s="9" t="n"/>
      <c r="AV13" s="9" t="n"/>
    </row>
    <row r="14">
      <c r="A14" t="n">
        <v>2026</v>
      </c>
      <c r="B14" t="inlineStr">
        <is>
          <t>54975</t>
        </is>
      </c>
      <c r="C14" t="inlineStr">
        <is>
          <t>Cluj-Napoca</t>
        </is>
      </c>
      <c r="D14" t="inlineStr">
        <is>
          <t>Cluj</t>
        </is>
      </c>
      <c r="E14" t="inlineStr">
        <is>
          <t>nu</t>
        </is>
      </c>
      <c r="F14" t="inlineStr">
        <is>
          <t>total_cheltuieli_lipsa</t>
        </is>
      </c>
      <c r="G14" t="inlineStr">
        <is>
          <t>verified</t>
        </is>
      </c>
      <c r="H14" s="5" t="n">
        <v>94.8</v>
      </c>
      <c r="I14" t="inlineStr">
        <is>
          <t>nu</t>
        </is>
      </c>
      <c r="J14" s="6" t="n">
        <v>286598</v>
      </c>
      <c r="K14" t="inlineStr">
        <is>
          <t>2021-12-01</t>
        </is>
      </c>
      <c r="L14" s="7" t="n">
        <v>179.5</v>
      </c>
      <c r="M14" s="7">
        <f>IFERROR(J14/L14,"")</f>
        <v/>
      </c>
      <c r="N14" s="7" t="n">
        <v>3918810.049</v>
      </c>
      <c r="O14" s="7" t="n"/>
      <c r="P14" s="7">
        <f>IF(OR($E14&lt;&gt;"da",N14="",O14=""),"",N14-O14)</f>
        <v/>
      </c>
      <c r="Q14" s="7">
        <f>IF(OR($E14&lt;&gt;"da",N14=""),"",IFERROR(N14*1000/J14,""))</f>
        <v/>
      </c>
      <c r="R14" s="7">
        <f>IF(OR($E14&lt;&gt;"da",O14=""),"",IFERROR(O14*1000/J14,""))</f>
        <v/>
      </c>
      <c r="S14" s="7">
        <f>IF(OR($E14&lt;&gt;"da",P14=""),"",IFERROR(P14*1000/J14,""))</f>
        <v/>
      </c>
      <c r="T14" s="8" t="n"/>
      <c r="U14" s="8" t="n"/>
      <c r="V14" s="8" t="n">
        <v>2</v>
      </c>
      <c r="W14" t="inlineStr">
        <is>
          <t>2026-06-30</t>
        </is>
      </c>
      <c r="X14" s="7" t="n">
        <v>1584581.58387</v>
      </c>
      <c r="Y14" s="7" t="n">
        <v>1134920.76504</v>
      </c>
      <c r="Z14" s="7">
        <f>IF(OR(X14="",Y14=""),"",X14-Y14)</f>
        <v/>
      </c>
      <c r="AA14" s="7">
        <f>IF(OR($AJ14&lt;&gt;"da",X14=""),"",IFERROR(X14*1000/J14,""))</f>
        <v/>
      </c>
      <c r="AB14" s="7">
        <f>IF(OR($AJ14&lt;&gt;"da",Y14=""),"",IFERROR(Y14*1000/J14,""))</f>
        <v/>
      </c>
      <c r="AC14" s="7">
        <f>IF(OR($AJ14&lt;&gt;"da",Z14=""),"",IFERROR(Z14*1000/J14,""))</f>
        <v/>
      </c>
      <c r="AD14" s="8" t="n">
        <v>6</v>
      </c>
      <c r="AE14" s="8" t="n">
        <v>41</v>
      </c>
      <c r="AF14" s="9" t="n"/>
      <c r="AG14" s="9" t="n"/>
      <c r="AH14" s="9" t="n"/>
      <c r="AI14" s="9" t="n"/>
      <c r="AJ14" t="inlineStr">
        <is>
          <t>da</t>
        </is>
      </c>
      <c r="AL14" t="inlineStr">
        <is>
          <t>NUTS 2024</t>
        </is>
      </c>
      <c r="AM14" t="inlineStr">
        <is>
          <t>RO1</t>
        </is>
      </c>
      <c r="AN14" t="inlineStr">
        <is>
          <t>Macroregiunea Unu</t>
        </is>
      </c>
      <c r="AO14" t="inlineStr">
        <is>
          <t>RO11</t>
        </is>
      </c>
      <c r="AP14" t="inlineStr">
        <is>
          <t>Nord-Vest</t>
        </is>
      </c>
      <c r="AQ14" t="inlineStr">
        <is>
          <t>RO113</t>
        </is>
      </c>
      <c r="AR14" t="inlineStr">
        <is>
          <t>Cluj</t>
        </is>
      </c>
      <c r="AS14" s="9" t="n"/>
      <c r="AT14" t="inlineStr">
        <is>
          <t>full_year_not_available</t>
        </is>
      </c>
      <c r="AU14" s="9" t="n"/>
      <c r="AV14" s="9" t="n"/>
    </row>
    <row r="15">
      <c r="A15" t="n">
        <v>2026</v>
      </c>
      <c r="B15" t="inlineStr">
        <is>
          <t>60419</t>
        </is>
      </c>
      <c r="C15" t="inlineStr">
        <is>
          <t>Constanța</t>
        </is>
      </c>
      <c r="D15" t="inlineStr">
        <is>
          <t>Constanța</t>
        </is>
      </c>
      <c r="E15" t="inlineStr">
        <is>
          <t>nu</t>
        </is>
      </c>
      <c r="F15" t="inlineStr">
        <is>
          <t>total_cheltuieli_lipsa</t>
        </is>
      </c>
      <c r="G15" t="inlineStr">
        <is>
          <t>verified</t>
        </is>
      </c>
      <c r="H15" s="5" t="n">
        <v>74.8</v>
      </c>
      <c r="I15" t="inlineStr">
        <is>
          <t>nu</t>
        </is>
      </c>
      <c r="J15" s="6" t="n">
        <v>263688</v>
      </c>
      <c r="K15" t="inlineStr">
        <is>
          <t>2021-12-01</t>
        </is>
      </c>
      <c r="L15" s="7" t="n">
        <v>124.89</v>
      </c>
      <c r="M15" s="7">
        <f>IFERROR(J15/L15,"")</f>
        <v/>
      </c>
      <c r="N15" s="7" t="n">
        <v>2315972</v>
      </c>
      <c r="O15" s="7" t="n"/>
      <c r="P15" s="7">
        <f>IF(OR($E15&lt;&gt;"da",N15="",O15=""),"",N15-O15)</f>
        <v/>
      </c>
      <c r="Q15" s="7">
        <f>IF(OR($E15&lt;&gt;"da",N15=""),"",IFERROR(N15*1000/J15,""))</f>
        <v/>
      </c>
      <c r="R15" s="7">
        <f>IF(OR($E15&lt;&gt;"da",O15=""),"",IFERROR(O15*1000/J15,""))</f>
        <v/>
      </c>
      <c r="S15" s="7">
        <f>IF(OR($E15&lt;&gt;"da",P15=""),"",IFERROR(P15*1000/J15,""))</f>
        <v/>
      </c>
      <c r="T15" s="8" t="n"/>
      <c r="U15" s="8" t="n"/>
      <c r="V15" s="8" t="n">
        <v>2</v>
      </c>
      <c r="W15" t="inlineStr">
        <is>
          <t>2026-06-30</t>
        </is>
      </c>
      <c r="X15" s="7" t="n">
        <v>1174226.17987</v>
      </c>
      <c r="Y15" s="7" t="n">
        <v>938093.69345</v>
      </c>
      <c r="Z15" s="7">
        <f>IF(OR(X15="",Y15=""),"",X15-Y15)</f>
        <v/>
      </c>
      <c r="AA15" s="7">
        <f>IF(OR($AJ15&lt;&gt;"da",X15=""),"",IFERROR(X15*1000/J15,""))</f>
        <v/>
      </c>
      <c r="AB15" s="7">
        <f>IF(OR($AJ15&lt;&gt;"da",Y15=""),"",IFERROR(Y15*1000/J15,""))</f>
        <v/>
      </c>
      <c r="AC15" s="7">
        <f>IF(OR($AJ15&lt;&gt;"da",Z15=""),"",IFERROR(Z15*1000/J15,""))</f>
        <v/>
      </c>
      <c r="AD15" s="8" t="n">
        <v>11</v>
      </c>
      <c r="AE15" s="8" t="n">
        <v>41</v>
      </c>
      <c r="AF15" s="9" t="n"/>
      <c r="AG15" s="9" t="n"/>
      <c r="AH15" s="9" t="n"/>
      <c r="AI15" s="9" t="n"/>
      <c r="AJ15" t="inlineStr">
        <is>
          <t>da</t>
        </is>
      </c>
      <c r="AL15" t="inlineStr">
        <is>
          <t>NUTS 2024</t>
        </is>
      </c>
      <c r="AM15" t="inlineStr">
        <is>
          <t>RO2</t>
        </is>
      </c>
      <c r="AN15" t="inlineStr">
        <is>
          <t>Macroregiunea Doi</t>
        </is>
      </c>
      <c r="AO15" t="inlineStr">
        <is>
          <t>RO22</t>
        </is>
      </c>
      <c r="AP15" t="inlineStr">
        <is>
          <t>Sud-Est</t>
        </is>
      </c>
      <c r="AQ15" t="inlineStr">
        <is>
          <t>RO223</t>
        </is>
      </c>
      <c r="AR15" t="inlineStr">
        <is>
          <t>Constanța</t>
        </is>
      </c>
      <c r="AS15" s="9" t="n"/>
      <c r="AT15" t="inlineStr">
        <is>
          <t>full_year_not_available</t>
        </is>
      </c>
      <c r="AU15" s="9" t="n"/>
      <c r="AV15" s="9" t="n"/>
    </row>
    <row r="16">
      <c r="A16" t="n">
        <v>2026</v>
      </c>
      <c r="B16" t="inlineStr">
        <is>
          <t>63394</t>
        </is>
      </c>
      <c r="C16" t="inlineStr">
        <is>
          <t>Sfântu Gheorghe</t>
        </is>
      </c>
      <c r="D16" t="inlineStr">
        <is>
          <t>Covasna</t>
        </is>
      </c>
      <c r="E16" t="inlineStr">
        <is>
          <t>nu</t>
        </is>
      </c>
      <c r="F16" t="inlineStr">
        <is>
          <t>total_cheltuieli_lipsa</t>
        </is>
      </c>
      <c r="G16" t="inlineStr">
        <is>
          <t>verified</t>
        </is>
      </c>
      <c r="H16" s="5" t="n">
        <v>93.90000000000001</v>
      </c>
      <c r="I16" t="inlineStr">
        <is>
          <t>nu</t>
        </is>
      </c>
      <c r="J16" s="6" t="n">
        <v>50080</v>
      </c>
      <c r="K16" t="inlineStr">
        <is>
          <t>2021-12-01</t>
        </is>
      </c>
      <c r="L16" s="7" t="n">
        <v>72.92</v>
      </c>
      <c r="M16" s="7">
        <f>IFERROR(J16/L16,"")</f>
        <v/>
      </c>
      <c r="N16" s="7" t="n"/>
      <c r="O16" s="7" t="n"/>
      <c r="P16" s="7">
        <f>IF(OR($E16&lt;&gt;"da",N16="",O16=""),"",N16-O16)</f>
        <v/>
      </c>
      <c r="Q16" s="7">
        <f>IF(OR($E16&lt;&gt;"da",N16=""),"",IFERROR(N16*1000/J16,""))</f>
        <v/>
      </c>
      <c r="R16" s="7">
        <f>IF(OR($E16&lt;&gt;"da",O16=""),"",IFERROR(O16*1000/J16,""))</f>
        <v/>
      </c>
      <c r="S16" s="7">
        <f>IF(OR($E16&lt;&gt;"da",P16=""),"",IFERROR(P16*1000/J16,""))</f>
        <v/>
      </c>
      <c r="T16" s="8" t="n"/>
      <c r="U16" s="8" t="n"/>
      <c r="V16" s="8" t="n">
        <v>2</v>
      </c>
      <c r="W16" t="inlineStr">
        <is>
          <t>2026-06-30</t>
        </is>
      </c>
      <c r="X16" s="7" t="n">
        <v>252872.28277</v>
      </c>
      <c r="Y16" s="7" t="n">
        <v>237077.99354</v>
      </c>
      <c r="Z16" s="7">
        <f>IF(OR(X16="",Y16=""),"",X16-Y16)</f>
        <v/>
      </c>
      <c r="AA16" s="7">
        <f>IF(OR($AJ16&lt;&gt;"da",X16=""),"",IFERROR(X16*1000/J16,""))</f>
        <v/>
      </c>
      <c r="AB16" s="7">
        <f>IF(OR($AJ16&lt;&gt;"da",Y16=""),"",IFERROR(Y16*1000/J16,""))</f>
        <v/>
      </c>
      <c r="AC16" s="7">
        <f>IF(OR($AJ16&lt;&gt;"da",Z16=""),"",IFERROR(Z16*1000/J16,""))</f>
        <v/>
      </c>
      <c r="AD16" s="8" t="n">
        <v>2</v>
      </c>
      <c r="AE16" s="8" t="n">
        <v>41</v>
      </c>
      <c r="AF16" s="9" t="n"/>
      <c r="AG16" s="9" t="n"/>
      <c r="AH16" s="9" t="n"/>
      <c r="AI16" s="9" t="n"/>
      <c r="AJ16" t="inlineStr">
        <is>
          <t>da</t>
        </is>
      </c>
      <c r="AL16" t="inlineStr">
        <is>
          <t>NUTS 2024</t>
        </is>
      </c>
      <c r="AM16" t="inlineStr">
        <is>
          <t>RO1</t>
        </is>
      </c>
      <c r="AN16" t="inlineStr">
        <is>
          <t>Macroregiunea Unu</t>
        </is>
      </c>
      <c r="AO16" t="inlineStr">
        <is>
          <t>RO12</t>
        </is>
      </c>
      <c r="AP16" t="inlineStr">
        <is>
          <t>Centru</t>
        </is>
      </c>
      <c r="AQ16" t="inlineStr">
        <is>
          <t>RO123</t>
        </is>
      </c>
      <c r="AR16" t="inlineStr">
        <is>
          <t>Covasna</t>
        </is>
      </c>
      <c r="AS16" s="9" t="n"/>
      <c r="AT16" t="inlineStr">
        <is>
          <t>full_year_not_available</t>
        </is>
      </c>
      <c r="AU16" s="9" t="n"/>
      <c r="AV16" s="9" t="n"/>
    </row>
    <row r="17">
      <c r="A17" t="n">
        <v>2026</v>
      </c>
      <c r="B17" t="inlineStr">
        <is>
          <t>65342</t>
        </is>
      </c>
      <c r="C17" t="inlineStr">
        <is>
          <t>Târgoviște</t>
        </is>
      </c>
      <c r="D17" t="inlineStr">
        <is>
          <t>Dâmbovița</t>
        </is>
      </c>
      <c r="E17" t="inlineStr">
        <is>
          <t>da</t>
        </is>
      </c>
      <c r="G17" t="inlineStr">
        <is>
          <t>verified</t>
        </is>
      </c>
      <c r="H17" s="5" t="n">
        <v>100</v>
      </c>
      <c r="I17" t="inlineStr">
        <is>
          <t>nu</t>
        </is>
      </c>
      <c r="J17" s="6" t="n">
        <v>66965</v>
      </c>
      <c r="K17" t="inlineStr">
        <is>
          <t>2021-12-01</t>
        </is>
      </c>
      <c r="L17" s="7" t="n">
        <v>50.4</v>
      </c>
      <c r="M17" s="7">
        <f>IFERROR(J17/L17,"")</f>
        <v/>
      </c>
      <c r="N17" s="7" t="n">
        <v>679983</v>
      </c>
      <c r="O17" s="7" t="n">
        <v>696115</v>
      </c>
      <c r="P17" s="7">
        <f>IF(OR($E17&lt;&gt;"da",N17="",O17=""),"",N17-O17)</f>
        <v/>
      </c>
      <c r="Q17" s="7">
        <f>IF(OR($E17&lt;&gt;"da",N17=""),"",IFERROR(N17*1000/J17,""))</f>
        <v/>
      </c>
      <c r="R17" s="7">
        <f>IF(OR($E17&lt;&gt;"da",O17=""),"",IFERROR(O17*1000/J17,""))</f>
        <v/>
      </c>
      <c r="S17" s="7">
        <f>IF(OR($E17&lt;&gt;"da",P17=""),"",IFERROR(P17*1000/J17,""))</f>
        <v/>
      </c>
      <c r="T17" s="8" t="n">
        <v>1</v>
      </c>
      <c r="U17" s="8" t="n">
        <v>9</v>
      </c>
      <c r="V17" s="8" t="n">
        <v>2</v>
      </c>
      <c r="W17" t="inlineStr">
        <is>
          <t>2026-06-30</t>
        </is>
      </c>
      <c r="X17" s="7" t="n">
        <v>327697.96991</v>
      </c>
      <c r="Y17" s="7" t="n">
        <v>323870.68788</v>
      </c>
      <c r="Z17" s="7">
        <f>IF(OR(X17="",Y17=""),"",X17-Y17)</f>
        <v/>
      </c>
      <c r="AA17" s="7">
        <f>IF(OR($AJ17&lt;&gt;"da",X17=""),"",IFERROR(X17*1000/J17,""))</f>
        <v/>
      </c>
      <c r="AB17" s="7">
        <f>IF(OR($AJ17&lt;&gt;"da",Y17=""),"",IFERROR(Y17*1000/J17,""))</f>
        <v/>
      </c>
      <c r="AC17" s="7">
        <f>IF(OR($AJ17&lt;&gt;"da",Z17=""),"",IFERROR(Z17*1000/J17,""))</f>
        <v/>
      </c>
      <c r="AD17" s="8" t="n">
        <v>1</v>
      </c>
      <c r="AE17" s="8" t="n">
        <v>41</v>
      </c>
      <c r="AF17" s="9" t="n">
        <v>48.2</v>
      </c>
      <c r="AG17" s="9" t="n">
        <v>46.5</v>
      </c>
      <c r="AH17" s="9" t="n">
        <v>11.82</v>
      </c>
      <c r="AI17" s="9" t="n">
        <v>11.45</v>
      </c>
      <c r="AJ17" t="inlineStr">
        <is>
          <t>da</t>
        </is>
      </c>
      <c r="AL17" t="inlineStr">
        <is>
          <t>NUTS 2024</t>
        </is>
      </c>
      <c r="AM17" t="inlineStr">
        <is>
          <t>RO3</t>
        </is>
      </c>
      <c r="AN17" t="inlineStr">
        <is>
          <t>Macroregiunea Trei</t>
        </is>
      </c>
      <c r="AO17" t="inlineStr">
        <is>
          <t>RO31</t>
        </is>
      </c>
      <c r="AP17" t="inlineStr">
        <is>
          <t>Sud-Muntenia</t>
        </is>
      </c>
      <c r="AQ17" t="inlineStr">
        <is>
          <t>RO313</t>
        </is>
      </c>
      <c r="AR17" t="inlineStr">
        <is>
          <t>Dâmbovița</t>
        </is>
      </c>
      <c r="AS17" s="9" t="n"/>
      <c r="AT17" t="inlineStr">
        <is>
          <t>full_year_not_available</t>
        </is>
      </c>
      <c r="AU17" s="9" t="n"/>
      <c r="AV17" s="9" t="n"/>
    </row>
    <row r="18">
      <c r="A18" t="n">
        <v>2026</v>
      </c>
      <c r="B18" t="inlineStr">
        <is>
          <t>69900</t>
        </is>
      </c>
      <c r="C18" t="inlineStr">
        <is>
          <t>Craiova</t>
        </is>
      </c>
      <c r="D18" t="inlineStr">
        <is>
          <t>Dolj</t>
        </is>
      </c>
      <c r="E18" t="inlineStr">
        <is>
          <t>nu</t>
        </is>
      </c>
      <c r="F18" t="inlineStr">
        <is>
          <t>total_cheltuieli_lipsa</t>
        </is>
      </c>
      <c r="G18" t="inlineStr">
        <is>
          <t>verified</t>
        </is>
      </c>
      <c r="H18" s="5" t="n">
        <v>47.7</v>
      </c>
      <c r="I18" t="inlineStr">
        <is>
          <t>nu</t>
        </is>
      </c>
      <c r="J18" s="6" t="n">
        <v>234140</v>
      </c>
      <c r="K18" t="inlineStr">
        <is>
          <t>2021-12-01</t>
        </is>
      </c>
      <c r="L18" s="7" t="n">
        <v>81.41</v>
      </c>
      <c r="M18" s="7">
        <f>IFERROR(J18/L18,"")</f>
        <v/>
      </c>
      <c r="N18" s="7" t="n"/>
      <c r="O18" s="7" t="n"/>
      <c r="P18" s="7">
        <f>IF(OR($E18&lt;&gt;"da",N18="",O18=""),"",N18-O18)</f>
        <v/>
      </c>
      <c r="Q18" s="7">
        <f>IF(OR($E18&lt;&gt;"da",N18=""),"",IFERROR(N18*1000/J18,""))</f>
        <v/>
      </c>
      <c r="R18" s="7">
        <f>IF(OR($E18&lt;&gt;"da",O18=""),"",IFERROR(O18*1000/J18,""))</f>
        <v/>
      </c>
      <c r="S18" s="7">
        <f>IF(OR($E18&lt;&gt;"da",P18=""),"",IFERROR(P18*1000/J18,""))</f>
        <v/>
      </c>
      <c r="T18" s="8" t="n"/>
      <c r="U18" s="8" t="n"/>
      <c r="V18" s="8" t="n">
        <v>2</v>
      </c>
      <c r="W18" t="inlineStr">
        <is>
          <t>2026-06-30</t>
        </is>
      </c>
      <c r="X18" s="7" t="n">
        <v>728130.42772</v>
      </c>
      <c r="Y18" s="7" t="n">
        <v>608928.47124</v>
      </c>
      <c r="Z18" s="7">
        <f>IF(OR(X18="",Y18=""),"",X18-Y18)</f>
        <v/>
      </c>
      <c r="AA18" s="7">
        <f>IF(OR($AJ18&lt;&gt;"da",X18=""),"",IFERROR(X18*1000/J18,""))</f>
        <v/>
      </c>
      <c r="AB18" s="7">
        <f>IF(OR($AJ18&lt;&gt;"da",Y18=""),"",IFERROR(Y18*1000/J18,""))</f>
        <v/>
      </c>
      <c r="AC18" s="7">
        <f>IF(OR($AJ18&lt;&gt;"da",Z18=""),"",IFERROR(Z18*1000/J18,""))</f>
        <v/>
      </c>
      <c r="AD18" s="8" t="n">
        <v>33</v>
      </c>
      <c r="AE18" s="8" t="n">
        <v>41</v>
      </c>
      <c r="AF18" s="9" t="n"/>
      <c r="AG18" s="9" t="n"/>
      <c r="AH18" s="9" t="n"/>
      <c r="AI18" s="9" t="n"/>
      <c r="AJ18" t="inlineStr">
        <is>
          <t>da</t>
        </is>
      </c>
      <c r="AL18" t="inlineStr">
        <is>
          <t>NUTS 2024</t>
        </is>
      </c>
      <c r="AM18" t="inlineStr">
        <is>
          <t>RO4</t>
        </is>
      </c>
      <c r="AN18" t="inlineStr">
        <is>
          <t>Macroregiunea Patru</t>
        </is>
      </c>
      <c r="AO18" t="inlineStr">
        <is>
          <t>RO41</t>
        </is>
      </c>
      <c r="AP18" t="inlineStr">
        <is>
          <t>Sud-Vest Oltenia</t>
        </is>
      </c>
      <c r="AQ18" t="inlineStr">
        <is>
          <t>RO411</t>
        </is>
      </c>
      <c r="AR18" t="inlineStr">
        <is>
          <t>Dolj</t>
        </is>
      </c>
      <c r="AS18" s="9" t="n"/>
      <c r="AT18" t="inlineStr">
        <is>
          <t>full_year_not_available</t>
        </is>
      </c>
      <c r="AU18" s="9" t="n"/>
      <c r="AV18" s="9" t="n"/>
    </row>
    <row r="19">
      <c r="A19" t="n">
        <v>2026</v>
      </c>
      <c r="B19" t="inlineStr">
        <is>
          <t>75098</t>
        </is>
      </c>
      <c r="C19" t="inlineStr">
        <is>
          <t>Galați</t>
        </is>
      </c>
      <c r="D19" t="inlineStr">
        <is>
          <t>Galați</t>
        </is>
      </c>
      <c r="E19" t="inlineStr">
        <is>
          <t>nu</t>
        </is>
      </c>
      <c r="F19" t="inlineStr">
        <is>
          <t>total_cheltuieli_lipsa</t>
        </is>
      </c>
      <c r="G19" t="inlineStr">
        <is>
          <t>verified</t>
        </is>
      </c>
      <c r="H19" s="5" t="n">
        <v>97.7</v>
      </c>
      <c r="I19" t="inlineStr">
        <is>
          <t>nu</t>
        </is>
      </c>
      <c r="J19" s="6" t="n">
        <v>217851</v>
      </c>
      <c r="K19" t="inlineStr">
        <is>
          <t>2021-12-01</t>
        </is>
      </c>
      <c r="L19" s="7" t="n">
        <v>246.4</v>
      </c>
      <c r="M19" s="7">
        <f>IFERROR(J19/L19,"")</f>
        <v/>
      </c>
      <c r="N19" s="7" t="n"/>
      <c r="O19" s="7" t="n"/>
      <c r="P19" s="7">
        <f>IF(OR($E19&lt;&gt;"da",N19="",O19=""),"",N19-O19)</f>
        <v/>
      </c>
      <c r="Q19" s="7">
        <f>IF(OR($E19&lt;&gt;"da",N19=""),"",IFERROR(N19*1000/J19,""))</f>
        <v/>
      </c>
      <c r="R19" s="7">
        <f>IF(OR($E19&lt;&gt;"da",O19=""),"",IFERROR(O19*1000/J19,""))</f>
        <v/>
      </c>
      <c r="S19" s="7">
        <f>IF(OR($E19&lt;&gt;"da",P19=""),"",IFERROR(P19*1000/J19,""))</f>
        <v/>
      </c>
      <c r="T19" s="8" t="n"/>
      <c r="U19" s="8" t="n"/>
      <c r="V19" s="8" t="n">
        <v>2</v>
      </c>
      <c r="W19" t="inlineStr">
        <is>
          <t>2026-06-30</t>
        </is>
      </c>
      <c r="X19" s="7" t="n">
        <v>745840.65624</v>
      </c>
      <c r="Y19" s="7" t="n">
        <v>693842.40776</v>
      </c>
      <c r="Z19" s="7">
        <f>IF(OR(X19="",Y19=""),"",X19-Y19)</f>
        <v/>
      </c>
      <c r="AA19" s="7">
        <f>IF(OR($AJ19&lt;&gt;"da",X19=""),"",IFERROR(X19*1000/J19,""))</f>
        <v/>
      </c>
      <c r="AB19" s="7">
        <f>IF(OR($AJ19&lt;&gt;"da",Y19=""),"",IFERROR(Y19*1000/J19,""))</f>
        <v/>
      </c>
      <c r="AC19" s="7">
        <f>IF(OR($AJ19&lt;&gt;"da",Z19=""),"",IFERROR(Z19*1000/J19,""))</f>
        <v/>
      </c>
      <c r="AD19" s="8" t="n">
        <v>18</v>
      </c>
      <c r="AE19" s="8" t="n">
        <v>41</v>
      </c>
      <c r="AF19" s="9" t="n"/>
      <c r="AG19" s="9" t="n"/>
      <c r="AH19" s="9" t="n"/>
      <c r="AI19" s="9" t="n"/>
      <c r="AJ19" t="inlineStr">
        <is>
          <t>da</t>
        </is>
      </c>
      <c r="AL19" t="inlineStr">
        <is>
          <t>NUTS 2024</t>
        </is>
      </c>
      <c r="AM19" t="inlineStr">
        <is>
          <t>RO2</t>
        </is>
      </c>
      <c r="AN19" t="inlineStr">
        <is>
          <t>Macroregiunea Doi</t>
        </is>
      </c>
      <c r="AO19" t="inlineStr">
        <is>
          <t>RO22</t>
        </is>
      </c>
      <c r="AP19" t="inlineStr">
        <is>
          <t>Sud-Est</t>
        </is>
      </c>
      <c r="AQ19" t="inlineStr">
        <is>
          <t>RO224</t>
        </is>
      </c>
      <c r="AR19" t="inlineStr">
        <is>
          <t>Galați</t>
        </is>
      </c>
      <c r="AS19" s="9" t="n"/>
      <c r="AT19" t="inlineStr">
        <is>
          <t>full_year_not_available</t>
        </is>
      </c>
      <c r="AU19" s="9" t="n"/>
      <c r="AV19" s="9" t="n"/>
    </row>
    <row r="20">
      <c r="A20" t="n">
        <v>2026</v>
      </c>
      <c r="B20" t="inlineStr">
        <is>
          <t>100521</t>
        </is>
      </c>
      <c r="C20" t="inlineStr">
        <is>
          <t>Giurgiu</t>
        </is>
      </c>
      <c r="D20" t="inlineStr">
        <is>
          <t>Giurgiu</t>
        </is>
      </c>
      <c r="E20" t="inlineStr">
        <is>
          <t>nu</t>
        </is>
      </c>
      <c r="F20" t="inlineStr">
        <is>
          <t>total_cheltuieli_lipsa</t>
        </is>
      </c>
      <c r="G20" t="inlineStr">
        <is>
          <t>verified</t>
        </is>
      </c>
      <c r="H20" s="5" t="n">
        <v>78</v>
      </c>
      <c r="I20" t="inlineStr">
        <is>
          <t>nu</t>
        </is>
      </c>
      <c r="J20" s="6" t="n">
        <v>54551</v>
      </c>
      <c r="K20" t="inlineStr">
        <is>
          <t>2021-12-01</t>
        </is>
      </c>
      <c r="L20" s="7" t="n">
        <v>46.94</v>
      </c>
      <c r="M20" s="7">
        <f>IFERROR(J20/L20,"")</f>
        <v/>
      </c>
      <c r="N20" s="7" t="n">
        <v>313815</v>
      </c>
      <c r="O20" s="7" t="n"/>
      <c r="P20" s="7">
        <f>IF(OR($E20&lt;&gt;"da",N20="",O20=""),"",N20-O20)</f>
        <v/>
      </c>
      <c r="Q20" s="7">
        <f>IF(OR($E20&lt;&gt;"da",N20=""),"",IFERROR(N20*1000/J20,""))</f>
        <v/>
      </c>
      <c r="R20" s="7">
        <f>IF(OR($E20&lt;&gt;"da",O20=""),"",IFERROR(O20*1000/J20,""))</f>
        <v/>
      </c>
      <c r="S20" s="7">
        <f>IF(OR($E20&lt;&gt;"da",P20=""),"",IFERROR(P20*1000/J20,""))</f>
        <v/>
      </c>
      <c r="T20" s="8" t="n"/>
      <c r="U20" s="8" t="n"/>
      <c r="V20" s="8" t="n">
        <v>2</v>
      </c>
      <c r="W20" t="inlineStr">
        <is>
          <t>2026-06-30</t>
        </is>
      </c>
      <c r="X20" s="7" t="n">
        <v>173169.96417</v>
      </c>
      <c r="Y20" s="7" t="n">
        <v>149766.5733</v>
      </c>
      <c r="Z20" s="7">
        <f>IF(OR(X20="",Y20=""),"",X20-Y20)</f>
        <v/>
      </c>
      <c r="AA20" s="7">
        <f>IF(OR($AJ20&lt;&gt;"da",X20=""),"",IFERROR(X20*1000/J20,""))</f>
        <v/>
      </c>
      <c r="AB20" s="7">
        <f>IF(OR($AJ20&lt;&gt;"da",Y20=""),"",IFERROR(Y20*1000/J20,""))</f>
        <v/>
      </c>
      <c r="AC20" s="7">
        <f>IF(OR($AJ20&lt;&gt;"da",Z20=""),"",IFERROR(Z20*1000/J20,""))</f>
        <v/>
      </c>
      <c r="AD20" s="8" t="n">
        <v>26</v>
      </c>
      <c r="AE20" s="8" t="n">
        <v>41</v>
      </c>
      <c r="AF20" s="9" t="n"/>
      <c r="AG20" s="9" t="n"/>
      <c r="AH20" s="9" t="n"/>
      <c r="AI20" s="9" t="n"/>
      <c r="AJ20" t="inlineStr">
        <is>
          <t>da</t>
        </is>
      </c>
      <c r="AL20" t="inlineStr">
        <is>
          <t>NUTS 2024</t>
        </is>
      </c>
      <c r="AM20" t="inlineStr">
        <is>
          <t>RO3</t>
        </is>
      </c>
      <c r="AN20" t="inlineStr">
        <is>
          <t>Macroregiunea Trei</t>
        </is>
      </c>
      <c r="AO20" t="inlineStr">
        <is>
          <t>RO31</t>
        </is>
      </c>
      <c r="AP20" t="inlineStr">
        <is>
          <t>Sud-Muntenia</t>
        </is>
      </c>
      <c r="AQ20" t="inlineStr">
        <is>
          <t>RO314</t>
        </is>
      </c>
      <c r="AR20" t="inlineStr">
        <is>
          <t>Giurgiu</t>
        </is>
      </c>
      <c r="AS20" s="9" t="n"/>
      <c r="AT20" t="inlineStr">
        <is>
          <t>full_year_not_available</t>
        </is>
      </c>
      <c r="AU20" s="9" t="n"/>
      <c r="AV20" s="9" t="n"/>
    </row>
    <row r="21">
      <c r="A21" t="n">
        <v>2026</v>
      </c>
      <c r="B21" t="inlineStr">
        <is>
          <t>77812</t>
        </is>
      </c>
      <c r="C21" t="inlineStr">
        <is>
          <t>Târgu Jiu</t>
        </is>
      </c>
      <c r="D21" t="inlineStr">
        <is>
          <t>Gorj</t>
        </is>
      </c>
      <c r="E21" t="inlineStr">
        <is>
          <t>nu</t>
        </is>
      </c>
      <c r="F21" t="inlineStr">
        <is>
          <t>status_missing_pdf</t>
        </is>
      </c>
      <c r="H21" s="5" t="n"/>
      <c r="J21" s="6" t="n">
        <v>73545</v>
      </c>
      <c r="K21" t="inlineStr">
        <is>
          <t>2021-12-01</t>
        </is>
      </c>
      <c r="L21" s="7" t="n">
        <v>161</v>
      </c>
      <c r="M21" s="7">
        <f>IFERROR(J21/L21,"")</f>
        <v/>
      </c>
      <c r="N21" s="7" t="n"/>
      <c r="O21" s="7" t="n"/>
      <c r="P21" s="7">
        <f>IF(OR($E21&lt;&gt;"da",N21="",O21=""),"",N21-O21)</f>
        <v/>
      </c>
      <c r="Q21" s="7">
        <f>IF(OR($E21&lt;&gt;"da",N21=""),"",IFERROR(N21*1000/J21,""))</f>
        <v/>
      </c>
      <c r="R21" s="7">
        <f>IF(OR($E21&lt;&gt;"da",O21=""),"",IFERROR(O21*1000/J21,""))</f>
        <v/>
      </c>
      <c r="S21" s="7">
        <f>IF(OR($E21&lt;&gt;"da",P21=""),"",IFERROR(P21*1000/J21,""))</f>
        <v/>
      </c>
      <c r="T21" s="8" t="n"/>
      <c r="U21" s="8" t="n"/>
      <c r="V21" s="8" t="n">
        <v>2</v>
      </c>
      <c r="W21" t="inlineStr">
        <is>
          <t>2026-06-30</t>
        </is>
      </c>
      <c r="X21" s="7" t="n">
        <v>295742.24252</v>
      </c>
      <c r="Y21" s="7" t="n">
        <v>237736.21503</v>
      </c>
      <c r="Z21" s="7">
        <f>IF(OR(X21="",Y21=""),"",X21-Y21)</f>
        <v/>
      </c>
      <c r="AA21" s="7">
        <f>IF(OR($AJ21&lt;&gt;"da",X21=""),"",IFERROR(X21*1000/J21,""))</f>
        <v/>
      </c>
      <c r="AB21" s="7">
        <f>IF(OR($AJ21&lt;&gt;"da",Y21=""),"",IFERROR(Y21*1000/J21,""))</f>
        <v/>
      </c>
      <c r="AC21" s="7">
        <f>IF(OR($AJ21&lt;&gt;"da",Z21=""),"",IFERROR(Z21*1000/J21,""))</f>
        <v/>
      </c>
      <c r="AD21" s="8" t="n">
        <v>15</v>
      </c>
      <c r="AE21" s="8" t="n">
        <v>41</v>
      </c>
      <c r="AF21" s="9" t="n"/>
      <c r="AG21" s="9" t="n"/>
      <c r="AH21" s="9" t="n"/>
      <c r="AI21" s="9" t="n"/>
      <c r="AJ21" t="inlineStr">
        <is>
          <t>da</t>
        </is>
      </c>
      <c r="AL21" t="inlineStr">
        <is>
          <t>NUTS 2024</t>
        </is>
      </c>
      <c r="AM21" t="inlineStr">
        <is>
          <t>RO4</t>
        </is>
      </c>
      <c r="AN21" t="inlineStr">
        <is>
          <t>Macroregiunea Patru</t>
        </is>
      </c>
      <c r="AO21" t="inlineStr">
        <is>
          <t>RO41</t>
        </is>
      </c>
      <c r="AP21" t="inlineStr">
        <is>
          <t>Sud-Vest Oltenia</t>
        </is>
      </c>
      <c r="AQ21" t="inlineStr">
        <is>
          <t>RO412</t>
        </is>
      </c>
      <c r="AR21" t="inlineStr">
        <is>
          <t>Gorj</t>
        </is>
      </c>
      <c r="AS21" s="9" t="n"/>
      <c r="AT21" t="inlineStr">
        <is>
          <t>full_year_not_available</t>
        </is>
      </c>
      <c r="AU21" s="9" t="n"/>
      <c r="AV21" s="9" t="n"/>
    </row>
    <row r="22">
      <c r="A22" t="n">
        <v>2026</v>
      </c>
      <c r="B22" t="inlineStr">
        <is>
          <t>83320</t>
        </is>
      </c>
      <c r="C22" t="inlineStr">
        <is>
          <t>Miercurea Ciuc</t>
        </is>
      </c>
      <c r="D22" t="inlineStr">
        <is>
          <t>Harghita</t>
        </is>
      </c>
      <c r="E22" t="inlineStr">
        <is>
          <t>nu</t>
        </is>
      </c>
      <c r="F22" t="inlineStr">
        <is>
          <t>total_cheltuieli_lipsa</t>
        </is>
      </c>
      <c r="G22" t="inlineStr">
        <is>
          <t>verified</t>
        </is>
      </c>
      <c r="H22" s="5" t="n">
        <v>86.40000000000001</v>
      </c>
      <c r="I22" t="inlineStr">
        <is>
          <t>nu</t>
        </is>
      </c>
      <c r="J22" s="6" t="n">
        <v>34484</v>
      </c>
      <c r="K22" t="inlineStr">
        <is>
          <t>2021-12-01</t>
        </is>
      </c>
      <c r="L22" s="7" t="n">
        <v>117.66</v>
      </c>
      <c r="M22" s="7">
        <f>IFERROR(J22/L22,"")</f>
        <v/>
      </c>
      <c r="N22" s="7" t="n"/>
      <c r="O22" s="7" t="n"/>
      <c r="P22" s="7">
        <f>IF(OR($E22&lt;&gt;"da",N22="",O22=""),"",N22-O22)</f>
        <v/>
      </c>
      <c r="Q22" s="7">
        <f>IF(OR($E22&lt;&gt;"da",N22=""),"",IFERROR(N22*1000/J22,""))</f>
        <v/>
      </c>
      <c r="R22" s="7">
        <f>IF(OR($E22&lt;&gt;"da",O22=""),"",IFERROR(O22*1000/J22,""))</f>
        <v/>
      </c>
      <c r="S22" s="7">
        <f>IF(OR($E22&lt;&gt;"da",P22=""),"",IFERROR(P22*1000/J22,""))</f>
        <v/>
      </c>
      <c r="T22" s="8" t="n"/>
      <c r="U22" s="8" t="n"/>
      <c r="V22" s="8" t="n">
        <v>2</v>
      </c>
      <c r="W22" t="inlineStr">
        <is>
          <t>2026-06-30</t>
        </is>
      </c>
      <c r="X22" s="7" t="n">
        <v>175469.49822</v>
      </c>
      <c r="Y22" s="7" t="n">
        <v>103323.00893</v>
      </c>
      <c r="Z22" s="7">
        <f>IF(OR(X22="",Y22=""),"",X22-Y22)</f>
        <v/>
      </c>
      <c r="AA22" s="7">
        <f>IF(OR($AJ22&lt;&gt;"da",X22=""),"",IFERROR(X22*1000/J22,""))</f>
        <v/>
      </c>
      <c r="AB22" s="7">
        <f>IF(OR($AJ22&lt;&gt;"da",Y22=""),"",IFERROR(Y22*1000/J22,""))</f>
        <v/>
      </c>
      <c r="AC22" s="7">
        <f>IF(OR($AJ22&lt;&gt;"da",Z22=""),"",IFERROR(Z22*1000/J22,""))</f>
        <v/>
      </c>
      <c r="AD22" s="8" t="n">
        <v>21</v>
      </c>
      <c r="AE22" s="8" t="n">
        <v>41</v>
      </c>
      <c r="AF22" s="9" t="n"/>
      <c r="AG22" s="9" t="n"/>
      <c r="AH22" s="9" t="n"/>
      <c r="AI22" s="9" t="n"/>
      <c r="AJ22" t="inlineStr">
        <is>
          <t>da</t>
        </is>
      </c>
      <c r="AL22" t="inlineStr">
        <is>
          <t>NUTS 2024</t>
        </is>
      </c>
      <c r="AM22" t="inlineStr">
        <is>
          <t>RO1</t>
        </is>
      </c>
      <c r="AN22" t="inlineStr">
        <is>
          <t>Macroregiunea Unu</t>
        </is>
      </c>
      <c r="AO22" t="inlineStr">
        <is>
          <t>RO12</t>
        </is>
      </c>
      <c r="AP22" t="inlineStr">
        <is>
          <t>Centru</t>
        </is>
      </c>
      <c r="AQ22" t="inlineStr">
        <is>
          <t>RO124</t>
        </is>
      </c>
      <c r="AR22" t="inlineStr">
        <is>
          <t>Harghita</t>
        </is>
      </c>
      <c r="AS22" s="9" t="n"/>
      <c r="AT22" t="inlineStr">
        <is>
          <t>full_year_not_available</t>
        </is>
      </c>
      <c r="AU22" s="9" t="n"/>
      <c r="AV22" s="9" t="n"/>
    </row>
    <row r="23">
      <c r="A23" t="n">
        <v>2026</v>
      </c>
      <c r="B23" t="inlineStr">
        <is>
          <t>86687</t>
        </is>
      </c>
      <c r="C23" t="inlineStr">
        <is>
          <t>Deva</t>
        </is>
      </c>
      <c r="D23" t="inlineStr">
        <is>
          <t>Hunedoara</t>
        </is>
      </c>
      <c r="E23" t="inlineStr">
        <is>
          <t>da</t>
        </is>
      </c>
      <c r="G23" t="inlineStr">
        <is>
          <t>verified</t>
        </is>
      </c>
      <c r="H23" s="5" t="n">
        <v>100</v>
      </c>
      <c r="I23" t="inlineStr">
        <is>
          <t>nu</t>
        </is>
      </c>
      <c r="J23" s="6" t="n">
        <v>53113</v>
      </c>
      <c r="K23" t="inlineStr">
        <is>
          <t>2021-12-01</t>
        </is>
      </c>
      <c r="L23" s="7" t="n">
        <v>34</v>
      </c>
      <c r="M23" s="7">
        <f>IFERROR(J23/L23,"")</f>
        <v/>
      </c>
      <c r="N23" s="7" t="n">
        <v>426162.82</v>
      </c>
      <c r="O23" s="7" t="n">
        <v>457871.86</v>
      </c>
      <c r="P23" s="7">
        <f>IF(OR($E23&lt;&gt;"da",N23="",O23=""),"",N23-O23)</f>
        <v/>
      </c>
      <c r="Q23" s="7">
        <f>IF(OR($E23&lt;&gt;"da",N23=""),"",IFERROR(N23*1000/J23,""))</f>
        <v/>
      </c>
      <c r="R23" s="7">
        <f>IF(OR($E23&lt;&gt;"da",O23=""),"",IFERROR(O23*1000/J23,""))</f>
        <v/>
      </c>
      <c r="S23" s="7">
        <f>IF(OR($E23&lt;&gt;"da",P23=""),"",IFERROR(P23*1000/J23,""))</f>
        <v/>
      </c>
      <c r="T23" s="8" t="n">
        <v>4</v>
      </c>
      <c r="U23" s="8" t="n">
        <v>9</v>
      </c>
      <c r="V23" s="8" t="n">
        <v>2</v>
      </c>
      <c r="W23" t="inlineStr">
        <is>
          <t>2026-06-30</t>
        </is>
      </c>
      <c r="X23" s="7" t="n">
        <v>225309.04304</v>
      </c>
      <c r="Y23" s="7" t="n">
        <v>160186.12858</v>
      </c>
      <c r="Z23" s="7">
        <f>IF(OR(X23="",Y23=""),"",X23-Y23)</f>
        <v/>
      </c>
      <c r="AA23" s="7">
        <f>IF(OR($AJ23&lt;&gt;"da",X23=""),"",IFERROR(X23*1000/J23,""))</f>
        <v/>
      </c>
      <c r="AB23" s="7">
        <f>IF(OR($AJ23&lt;&gt;"da",Y23=""),"",IFERROR(Y23*1000/J23,""))</f>
        <v/>
      </c>
      <c r="AC23" s="7">
        <f>IF(OR($AJ23&lt;&gt;"da",Z23=""),"",IFERROR(Z23*1000/J23,""))</f>
        <v/>
      </c>
      <c r="AD23" s="8" t="n">
        <v>20</v>
      </c>
      <c r="AE23" s="8" t="n">
        <v>41</v>
      </c>
      <c r="AF23" s="9" t="n">
        <v>52.9</v>
      </c>
      <c r="AG23" s="9" t="n">
        <v>35</v>
      </c>
      <c r="AH23" s="9" t="n">
        <v>-0.48</v>
      </c>
      <c r="AI23" s="9" t="n">
        <v>-6.6</v>
      </c>
      <c r="AJ23" t="inlineStr">
        <is>
          <t>da</t>
        </is>
      </c>
      <c r="AL23" t="inlineStr">
        <is>
          <t>NUTS 2024</t>
        </is>
      </c>
      <c r="AM23" t="inlineStr">
        <is>
          <t>RO4</t>
        </is>
      </c>
      <c r="AN23" t="inlineStr">
        <is>
          <t>Macroregiunea Patru</t>
        </is>
      </c>
      <c r="AO23" t="inlineStr">
        <is>
          <t>RO42</t>
        </is>
      </c>
      <c r="AP23" t="inlineStr">
        <is>
          <t>Vest</t>
        </is>
      </c>
      <c r="AQ23" t="inlineStr">
        <is>
          <t>RO423</t>
        </is>
      </c>
      <c r="AR23" t="inlineStr">
        <is>
          <t>Hunedoara</t>
        </is>
      </c>
      <c r="AS23" s="9" t="n"/>
      <c r="AT23" t="inlineStr">
        <is>
          <t>full_year_not_available</t>
        </is>
      </c>
      <c r="AU23" s="9" t="n"/>
      <c r="AV23" s="9" t="n"/>
    </row>
    <row r="24">
      <c r="A24" t="n">
        <v>2026</v>
      </c>
      <c r="B24" t="inlineStr">
        <is>
          <t>92658</t>
        </is>
      </c>
      <c r="C24" t="inlineStr">
        <is>
          <t>Slobozia</t>
        </is>
      </c>
      <c r="D24" t="inlineStr">
        <is>
          <t>Ialomița</t>
        </is>
      </c>
      <c r="E24" t="inlineStr">
        <is>
          <t>nu</t>
        </is>
      </c>
      <c r="F24" t="inlineStr">
        <is>
          <t>total_cheltuieli_lipsa</t>
        </is>
      </c>
      <c r="G24" t="inlineStr">
        <is>
          <t>verified</t>
        </is>
      </c>
      <c r="H24" s="5" t="n">
        <v>78.40000000000001</v>
      </c>
      <c r="I24" t="inlineStr">
        <is>
          <t>nu</t>
        </is>
      </c>
      <c r="J24" s="6" t="n">
        <v>41550</v>
      </c>
      <c r="K24" t="inlineStr">
        <is>
          <t>2021-12-01</t>
        </is>
      </c>
      <c r="L24" s="7" t="n">
        <v>132.87</v>
      </c>
      <c r="M24" s="7">
        <f>IFERROR(J24/L24,"")</f>
        <v/>
      </c>
      <c r="N24" s="7" t="n">
        <v>353906.64</v>
      </c>
      <c r="O24" s="7" t="n"/>
      <c r="P24" s="7">
        <f>IF(OR($E24&lt;&gt;"da",N24="",O24=""),"",N24-O24)</f>
        <v/>
      </c>
      <c r="Q24" s="7">
        <f>IF(OR($E24&lt;&gt;"da",N24=""),"",IFERROR(N24*1000/J24,""))</f>
        <v/>
      </c>
      <c r="R24" s="7">
        <f>IF(OR($E24&lt;&gt;"da",O24=""),"",IFERROR(O24*1000/J24,""))</f>
        <v/>
      </c>
      <c r="S24" s="7">
        <f>IF(OR($E24&lt;&gt;"da",P24=""),"",IFERROR(P24*1000/J24,""))</f>
        <v/>
      </c>
      <c r="T24" s="8" t="n"/>
      <c r="U24" s="8" t="n"/>
      <c r="V24" s="8" t="n">
        <v>2</v>
      </c>
      <c r="W24" t="inlineStr">
        <is>
          <t>2026-06-30</t>
        </is>
      </c>
      <c r="X24" s="7" t="n">
        <v>144290.33164</v>
      </c>
      <c r="Y24" s="7" t="n">
        <v>93444.10153</v>
      </c>
      <c r="Z24" s="7">
        <f>IF(OR(X24="",Y24=""),"",X24-Y24)</f>
        <v/>
      </c>
      <c r="AA24" s="7">
        <f>IF(OR($AJ24&lt;&gt;"da",X24=""),"",IFERROR(X24*1000/J24,""))</f>
        <v/>
      </c>
      <c r="AB24" s="7">
        <f>IF(OR($AJ24&lt;&gt;"da",Y24=""),"",IFERROR(Y24*1000/J24,""))</f>
        <v/>
      </c>
      <c r="AC24" s="7">
        <f>IF(OR($AJ24&lt;&gt;"da",Z24=""),"",IFERROR(Z24*1000/J24,""))</f>
        <v/>
      </c>
      <c r="AD24" s="8" t="n">
        <v>36</v>
      </c>
      <c r="AE24" s="8" t="n">
        <v>41</v>
      </c>
      <c r="AF24" s="9" t="n"/>
      <c r="AG24" s="9" t="n"/>
      <c r="AH24" s="9" t="n"/>
      <c r="AI24" s="9" t="n"/>
      <c r="AJ24" t="inlineStr">
        <is>
          <t>da</t>
        </is>
      </c>
      <c r="AL24" t="inlineStr">
        <is>
          <t>NUTS 2024</t>
        </is>
      </c>
      <c r="AM24" t="inlineStr">
        <is>
          <t>RO3</t>
        </is>
      </c>
      <c r="AN24" t="inlineStr">
        <is>
          <t>Macroregiunea Trei</t>
        </is>
      </c>
      <c r="AO24" t="inlineStr">
        <is>
          <t>RO31</t>
        </is>
      </c>
      <c r="AP24" t="inlineStr">
        <is>
          <t>Sud-Muntenia</t>
        </is>
      </c>
      <c r="AQ24" t="inlineStr">
        <is>
          <t>RO315</t>
        </is>
      </c>
      <c r="AR24" t="inlineStr">
        <is>
          <t>Ialomița</t>
        </is>
      </c>
      <c r="AS24" s="9" t="n"/>
      <c r="AT24" t="inlineStr">
        <is>
          <t>full_year_not_available</t>
        </is>
      </c>
      <c r="AU24" s="9" t="n"/>
      <c r="AV24" s="9" t="n"/>
    </row>
    <row r="25">
      <c r="A25" t="n">
        <v>2026</v>
      </c>
      <c r="B25" t="inlineStr">
        <is>
          <t>95060</t>
        </is>
      </c>
      <c r="C25" t="inlineStr">
        <is>
          <t>Iași</t>
        </is>
      </c>
      <c r="D25" t="inlineStr">
        <is>
          <t>Iași</t>
        </is>
      </c>
      <c r="E25" t="inlineStr">
        <is>
          <t>nu</t>
        </is>
      </c>
      <c r="F25" t="inlineStr">
        <is>
          <t>status_missing_pdf</t>
        </is>
      </c>
      <c r="H25" s="5" t="n"/>
      <c r="J25" s="6" t="n">
        <v>271692</v>
      </c>
      <c r="K25" t="inlineStr">
        <is>
          <t>2021-12-01</t>
        </is>
      </c>
      <c r="L25" s="7" t="n">
        <v>94</v>
      </c>
      <c r="M25" s="7">
        <f>IFERROR(J25/L25,"")</f>
        <v/>
      </c>
      <c r="N25" s="7" t="n"/>
      <c r="O25" s="7" t="n"/>
      <c r="P25" s="7">
        <f>IF(OR($E25&lt;&gt;"da",N25="",O25=""),"",N25-O25)</f>
        <v/>
      </c>
      <c r="Q25" s="7">
        <f>IF(OR($E25&lt;&gt;"da",N25=""),"",IFERROR(N25*1000/J25,""))</f>
        <v/>
      </c>
      <c r="R25" s="7">
        <f>IF(OR($E25&lt;&gt;"da",O25=""),"",IFERROR(O25*1000/J25,""))</f>
        <v/>
      </c>
      <c r="S25" s="7">
        <f>IF(OR($E25&lt;&gt;"da",P25=""),"",IFERROR(P25*1000/J25,""))</f>
        <v/>
      </c>
      <c r="T25" s="8" t="n"/>
      <c r="U25" s="8" t="n"/>
      <c r="V25" s="8" t="n">
        <v>2</v>
      </c>
      <c r="W25" t="inlineStr">
        <is>
          <t>2026-06-30</t>
        </is>
      </c>
      <c r="X25" s="7" t="n">
        <v>1231542.09089</v>
      </c>
      <c r="Y25" s="7" t="n">
        <v>999307.79291</v>
      </c>
      <c r="Z25" s="7">
        <f>IF(OR(X25="",Y25=""),"",X25-Y25)</f>
        <v/>
      </c>
      <c r="AA25" s="7">
        <f>IF(OR($AJ25&lt;&gt;"da",X25=""),"",IFERROR(X25*1000/J25,""))</f>
        <v/>
      </c>
      <c r="AB25" s="7">
        <f>IF(OR($AJ25&lt;&gt;"da",Y25=""),"",IFERROR(Y25*1000/J25,""))</f>
        <v/>
      </c>
      <c r="AC25" s="7">
        <f>IF(OR($AJ25&lt;&gt;"da",Z25=""),"",IFERROR(Z25*1000/J25,""))</f>
        <v/>
      </c>
      <c r="AD25" s="8" t="n">
        <v>8</v>
      </c>
      <c r="AE25" s="8" t="n">
        <v>41</v>
      </c>
      <c r="AF25" s="9" t="n"/>
      <c r="AG25" s="9" t="n"/>
      <c r="AH25" s="9" t="n"/>
      <c r="AI25" s="9" t="n"/>
      <c r="AJ25" t="inlineStr">
        <is>
          <t>da</t>
        </is>
      </c>
      <c r="AL25" t="inlineStr">
        <is>
          <t>NUTS 2024</t>
        </is>
      </c>
      <c r="AM25" t="inlineStr">
        <is>
          <t>RO2</t>
        </is>
      </c>
      <c r="AN25" t="inlineStr">
        <is>
          <t>Macroregiunea Doi</t>
        </is>
      </c>
      <c r="AO25" t="inlineStr">
        <is>
          <t>RO21</t>
        </is>
      </c>
      <c r="AP25" t="inlineStr">
        <is>
          <t>Nord-Est</t>
        </is>
      </c>
      <c r="AQ25" t="inlineStr">
        <is>
          <t>RO213</t>
        </is>
      </c>
      <c r="AR25" t="inlineStr">
        <is>
          <t>Iași</t>
        </is>
      </c>
      <c r="AS25" s="9" t="n"/>
      <c r="AT25" t="inlineStr">
        <is>
          <t>full_year_not_available</t>
        </is>
      </c>
      <c r="AU25" s="9" t="n"/>
      <c r="AV25" s="9" t="n"/>
    </row>
    <row r="26">
      <c r="A26" t="n">
        <v>2026</v>
      </c>
      <c r="B26" t="inlineStr">
        <is>
          <t>106318</t>
        </is>
      </c>
      <c r="C26" t="inlineStr">
        <is>
          <t>Baia Mare</t>
        </is>
      </c>
      <c r="D26" t="inlineStr">
        <is>
          <t>Maramureș</t>
        </is>
      </c>
      <c r="E26" t="inlineStr">
        <is>
          <t>nu</t>
        </is>
      </c>
      <c r="F26" t="inlineStr">
        <is>
          <t>status_pending</t>
        </is>
      </c>
      <c r="H26" s="5" t="n"/>
      <c r="J26" s="6" t="n">
        <v>108759</v>
      </c>
      <c r="K26" t="inlineStr">
        <is>
          <t>2021-12-01</t>
        </is>
      </c>
      <c r="L26" s="7" t="n">
        <v>236</v>
      </c>
      <c r="M26" s="7">
        <f>IFERROR(J26/L26,"")</f>
        <v/>
      </c>
      <c r="N26" s="7" t="n"/>
      <c r="O26" s="7" t="n"/>
      <c r="P26" s="7">
        <f>IF(OR($E26&lt;&gt;"da",N26="",O26=""),"",N26-O26)</f>
        <v/>
      </c>
      <c r="Q26" s="7">
        <f>IF(OR($E26&lt;&gt;"da",N26=""),"",IFERROR(N26*1000/J26,""))</f>
        <v/>
      </c>
      <c r="R26" s="7">
        <f>IF(OR($E26&lt;&gt;"da",O26=""),"",IFERROR(O26*1000/J26,""))</f>
        <v/>
      </c>
      <c r="S26" s="7">
        <f>IF(OR($E26&lt;&gt;"da",P26=""),"",IFERROR(P26*1000/J26,""))</f>
        <v/>
      </c>
      <c r="T26" s="8" t="n"/>
      <c r="U26" s="8" t="n"/>
      <c r="V26" s="8" t="n">
        <v>2</v>
      </c>
      <c r="W26" t="inlineStr">
        <is>
          <t>2026-06-30</t>
        </is>
      </c>
      <c r="X26" s="7" t="n">
        <v>411388.80176</v>
      </c>
      <c r="Y26" s="7" t="n">
        <v>393972.37927</v>
      </c>
      <c r="Z26" s="7">
        <f>IF(OR(X26="",Y26=""),"",X26-Y26)</f>
        <v/>
      </c>
      <c r="AA26" s="7">
        <f>IF(OR($AJ26&lt;&gt;"da",X26=""),"",IFERROR(X26*1000/J26,""))</f>
        <v/>
      </c>
      <c r="AB26" s="7">
        <f>IF(OR($AJ26&lt;&gt;"da",Y26=""),"",IFERROR(Y26*1000/J26,""))</f>
        <v/>
      </c>
      <c r="AC26" s="7">
        <f>IF(OR($AJ26&lt;&gt;"da",Z26=""),"",IFERROR(Z26*1000/J26,""))</f>
        <v/>
      </c>
      <c r="AD26" s="8" t="n">
        <v>9</v>
      </c>
      <c r="AE26" s="8" t="n">
        <v>41</v>
      </c>
      <c r="AF26" s="9" t="n"/>
      <c r="AG26" s="9" t="n"/>
      <c r="AH26" s="9" t="n"/>
      <c r="AI26" s="9" t="n"/>
      <c r="AJ26" t="inlineStr">
        <is>
          <t>da</t>
        </is>
      </c>
      <c r="AL26" t="inlineStr">
        <is>
          <t>NUTS 2024</t>
        </is>
      </c>
      <c r="AM26" t="inlineStr">
        <is>
          <t>RO1</t>
        </is>
      </c>
      <c r="AN26" t="inlineStr">
        <is>
          <t>Macroregiunea Unu</t>
        </is>
      </c>
      <c r="AO26" t="inlineStr">
        <is>
          <t>RO11</t>
        </is>
      </c>
      <c r="AP26" t="inlineStr">
        <is>
          <t>Nord-Vest</t>
        </is>
      </c>
      <c r="AQ26" t="inlineStr">
        <is>
          <t>RO114</t>
        </is>
      </c>
      <c r="AR26" t="inlineStr">
        <is>
          <t>Maramureș</t>
        </is>
      </c>
      <c r="AS26" s="9" t="n"/>
      <c r="AT26" t="inlineStr">
        <is>
          <t>full_year_not_available</t>
        </is>
      </c>
      <c r="AU26" s="9" t="n"/>
      <c r="AV26" s="9" t="n"/>
    </row>
    <row r="27">
      <c r="A27" t="n">
        <v>2026</v>
      </c>
      <c r="B27" t="inlineStr">
        <is>
          <t>109773</t>
        </is>
      </c>
      <c r="C27" t="inlineStr">
        <is>
          <t>Drobeta-Turnu Severin</t>
        </is>
      </c>
      <c r="D27" t="inlineStr">
        <is>
          <t>Mehedinți</t>
        </is>
      </c>
      <c r="E27" t="inlineStr">
        <is>
          <t>nu</t>
        </is>
      </c>
      <c r="F27" t="inlineStr">
        <is>
          <t>status_missing_pdf</t>
        </is>
      </c>
      <c r="H27" s="5" t="n"/>
      <c r="J27" s="6" t="n">
        <v>79865</v>
      </c>
      <c r="K27" t="inlineStr">
        <is>
          <t>2021-12-01</t>
        </is>
      </c>
      <c r="L27" s="7" t="n">
        <v>57.43</v>
      </c>
      <c r="M27" s="7">
        <f>IFERROR(J27/L27,"")</f>
        <v/>
      </c>
      <c r="N27" s="7" t="n"/>
      <c r="O27" s="7" t="n"/>
      <c r="P27" s="7">
        <f>IF(OR($E27&lt;&gt;"da",N27="",O27=""),"",N27-O27)</f>
        <v/>
      </c>
      <c r="Q27" s="7">
        <f>IF(OR($E27&lt;&gt;"da",N27=""),"",IFERROR(N27*1000/J27,""))</f>
        <v/>
      </c>
      <c r="R27" s="7">
        <f>IF(OR($E27&lt;&gt;"da",O27=""),"",IFERROR(O27*1000/J27,""))</f>
        <v/>
      </c>
      <c r="S27" s="7">
        <f>IF(OR($E27&lt;&gt;"da",P27=""),"",IFERROR(P27*1000/J27,""))</f>
        <v/>
      </c>
      <c r="T27" s="8" t="n"/>
      <c r="U27" s="8" t="n"/>
      <c r="V27" s="8" t="n">
        <v>2</v>
      </c>
      <c r="W27" t="inlineStr">
        <is>
          <t>2026-06-30</t>
        </is>
      </c>
      <c r="X27" s="7" t="n">
        <v>255065.23476</v>
      </c>
      <c r="Y27" s="7" t="n">
        <v>218481.85679</v>
      </c>
      <c r="Z27" s="7">
        <f>IF(OR(X27="",Y27=""),"",X27-Y27)</f>
        <v/>
      </c>
      <c r="AA27" s="7">
        <f>IF(OR($AJ27&lt;&gt;"da",X27=""),"",IFERROR(X27*1000/J27,""))</f>
        <v/>
      </c>
      <c r="AB27" s="7">
        <f>IF(OR($AJ27&lt;&gt;"da",Y27=""),"",IFERROR(Y27*1000/J27,""))</f>
        <v/>
      </c>
      <c r="AC27" s="7">
        <f>IF(OR($AJ27&lt;&gt;"da",Z27=""),"",IFERROR(Z27*1000/J27,""))</f>
        <v/>
      </c>
      <c r="AD27" s="8" t="n">
        <v>27</v>
      </c>
      <c r="AE27" s="8" t="n">
        <v>41</v>
      </c>
      <c r="AF27" s="9" t="n"/>
      <c r="AG27" s="9" t="n"/>
      <c r="AH27" s="9" t="n"/>
      <c r="AI27" s="9" t="n"/>
      <c r="AJ27" t="inlineStr">
        <is>
          <t>da</t>
        </is>
      </c>
      <c r="AL27" t="inlineStr">
        <is>
          <t>NUTS 2024</t>
        </is>
      </c>
      <c r="AM27" t="inlineStr">
        <is>
          <t>RO4</t>
        </is>
      </c>
      <c r="AN27" t="inlineStr">
        <is>
          <t>Macroregiunea Patru</t>
        </is>
      </c>
      <c r="AO27" t="inlineStr">
        <is>
          <t>RO41</t>
        </is>
      </c>
      <c r="AP27" t="inlineStr">
        <is>
          <t>Sud-Vest Oltenia</t>
        </is>
      </c>
      <c r="AQ27" t="inlineStr">
        <is>
          <t>RO413</t>
        </is>
      </c>
      <c r="AR27" t="inlineStr">
        <is>
          <t>Mehedinți</t>
        </is>
      </c>
      <c r="AS27" s="9" t="n"/>
      <c r="AT27" t="inlineStr">
        <is>
          <t>full_year_not_available</t>
        </is>
      </c>
      <c r="AU27" s="9" t="n"/>
      <c r="AV27" s="9" t="n"/>
    </row>
    <row r="28">
      <c r="A28" t="n">
        <v>2026</v>
      </c>
      <c r="B28" t="inlineStr">
        <is>
          <t>114319</t>
        </is>
      </c>
      <c r="C28" t="inlineStr">
        <is>
          <t>Târgu Mureș</t>
        </is>
      </c>
      <c r="D28" t="inlineStr">
        <is>
          <t>Mureș</t>
        </is>
      </c>
      <c r="E28" t="inlineStr">
        <is>
          <t>nu</t>
        </is>
      </c>
      <c r="F28" t="inlineStr">
        <is>
          <t>total_cheltuieli_lipsa</t>
        </is>
      </c>
      <c r="G28" t="inlineStr">
        <is>
          <t>verified</t>
        </is>
      </c>
      <c r="H28" s="5" t="n">
        <v>90</v>
      </c>
      <c r="I28" t="inlineStr">
        <is>
          <t>nu</t>
        </is>
      </c>
      <c r="J28" s="6" t="n">
        <v>116033</v>
      </c>
      <c r="K28" t="inlineStr">
        <is>
          <t>2021-12-01</t>
        </is>
      </c>
      <c r="L28" s="7" t="n">
        <v>66.95999999999999</v>
      </c>
      <c r="M28" s="7">
        <f>IFERROR(J28/L28,"")</f>
        <v/>
      </c>
      <c r="N28" s="7" t="n">
        <v>805849</v>
      </c>
      <c r="O28" s="7" t="n"/>
      <c r="P28" s="7">
        <f>IF(OR($E28&lt;&gt;"da",N28="",O28=""),"",N28-O28)</f>
        <v/>
      </c>
      <c r="Q28" s="7">
        <f>IF(OR($E28&lt;&gt;"da",N28=""),"",IFERROR(N28*1000/J28,""))</f>
        <v/>
      </c>
      <c r="R28" s="7">
        <f>IF(OR($E28&lt;&gt;"da",O28=""),"",IFERROR(O28*1000/J28,""))</f>
        <v/>
      </c>
      <c r="S28" s="7">
        <f>IF(OR($E28&lt;&gt;"da",P28=""),"",IFERROR(P28*1000/J28,""))</f>
        <v/>
      </c>
      <c r="T28" s="8" t="n"/>
      <c r="U28" s="8" t="n"/>
      <c r="V28" s="8" t="n">
        <v>2</v>
      </c>
      <c r="W28" t="inlineStr">
        <is>
          <t>2026-06-30</t>
        </is>
      </c>
      <c r="X28" s="7" t="n">
        <v>333044.26516</v>
      </c>
      <c r="Y28" s="7" t="n">
        <v>328275.10017</v>
      </c>
      <c r="Z28" s="7">
        <f>IF(OR(X28="",Y28=""),"",X28-Y28)</f>
        <v/>
      </c>
      <c r="AA28" s="7">
        <f>IF(OR($AJ28&lt;&gt;"da",X28=""),"",IFERROR(X28*1000/J28,""))</f>
        <v/>
      </c>
      <c r="AB28" s="7">
        <f>IF(OR($AJ28&lt;&gt;"da",Y28=""),"",IFERROR(Y28*1000/J28,""))</f>
        <v/>
      </c>
      <c r="AC28" s="7">
        <f>IF(OR($AJ28&lt;&gt;"da",Z28=""),"",IFERROR(Z28*1000/J28,""))</f>
        <v/>
      </c>
      <c r="AD28" s="8" t="n">
        <v>25</v>
      </c>
      <c r="AE28" s="8" t="n">
        <v>41</v>
      </c>
      <c r="AF28" s="9" t="n"/>
      <c r="AG28" s="9" t="n"/>
      <c r="AH28" s="9" t="n"/>
      <c r="AI28" s="9" t="n"/>
      <c r="AJ28" t="inlineStr">
        <is>
          <t>da</t>
        </is>
      </c>
      <c r="AL28" t="inlineStr">
        <is>
          <t>NUTS 2024</t>
        </is>
      </c>
      <c r="AM28" t="inlineStr">
        <is>
          <t>RO1</t>
        </is>
      </c>
      <c r="AN28" t="inlineStr">
        <is>
          <t>Macroregiunea Unu</t>
        </is>
      </c>
      <c r="AO28" t="inlineStr">
        <is>
          <t>RO12</t>
        </is>
      </c>
      <c r="AP28" t="inlineStr">
        <is>
          <t>Centru</t>
        </is>
      </c>
      <c r="AQ28" t="inlineStr">
        <is>
          <t>RO125</t>
        </is>
      </c>
      <c r="AR28" t="inlineStr">
        <is>
          <t>Mureș</t>
        </is>
      </c>
      <c r="AS28" s="9" t="n"/>
      <c r="AT28" t="inlineStr">
        <is>
          <t>full_year_not_available</t>
        </is>
      </c>
      <c r="AU28" s="9" t="n"/>
      <c r="AV28" s="9" t="n"/>
    </row>
    <row r="29">
      <c r="A29" t="n">
        <v>2026</v>
      </c>
      <c r="B29" t="inlineStr">
        <is>
          <t>120726</t>
        </is>
      </c>
      <c r="C29" t="inlineStr">
        <is>
          <t>Piatra-Neamț</t>
        </is>
      </c>
      <c r="D29" t="inlineStr">
        <is>
          <t>Neamț</t>
        </is>
      </c>
      <c r="E29" t="inlineStr">
        <is>
          <t>nu</t>
        </is>
      </c>
      <c r="F29" t="inlineStr">
        <is>
          <t>total_cheltuieli_lipsa</t>
        </is>
      </c>
      <c r="G29" t="inlineStr">
        <is>
          <t>verified</t>
        </is>
      </c>
      <c r="H29" s="5" t="n">
        <v>78.40000000000001</v>
      </c>
      <c r="I29" t="inlineStr">
        <is>
          <t>nu</t>
        </is>
      </c>
      <c r="J29" s="6" t="n">
        <v>79679</v>
      </c>
      <c r="K29" t="inlineStr">
        <is>
          <t>2021-12-01</t>
        </is>
      </c>
      <c r="L29" s="7" t="n">
        <v>77.40000000000001</v>
      </c>
      <c r="M29" s="7">
        <f>IFERROR(J29/L29,"")</f>
        <v/>
      </c>
      <c r="N29" s="7" t="n"/>
      <c r="O29" s="7" t="n"/>
      <c r="P29" s="7">
        <f>IF(OR($E29&lt;&gt;"da",N29="",O29=""),"",N29-O29)</f>
        <v/>
      </c>
      <c r="Q29" s="7">
        <f>IF(OR($E29&lt;&gt;"da",N29=""),"",IFERROR(N29*1000/J29,""))</f>
        <v/>
      </c>
      <c r="R29" s="7">
        <f>IF(OR($E29&lt;&gt;"da",O29=""),"",IFERROR(O29*1000/J29,""))</f>
        <v/>
      </c>
      <c r="S29" s="7">
        <f>IF(OR($E29&lt;&gt;"da",P29=""),"",IFERROR(P29*1000/J29,""))</f>
        <v/>
      </c>
      <c r="T29" s="8" t="n"/>
      <c r="U29" s="8" t="n"/>
      <c r="V29" s="8" t="n">
        <v>2</v>
      </c>
      <c r="W29" t="inlineStr">
        <is>
          <t>2026-06-30</t>
        </is>
      </c>
      <c r="X29" s="7" t="n">
        <v>206536.15457</v>
      </c>
      <c r="Y29" s="7" t="n">
        <v>155255.44022</v>
      </c>
      <c r="Z29" s="7">
        <f>IF(OR(X29="",Y29=""),"",X29-Y29)</f>
        <v/>
      </c>
      <c r="AA29" s="7">
        <f>IF(OR($AJ29&lt;&gt;"da",X29=""),"",IFERROR(X29*1000/J29,""))</f>
        <v/>
      </c>
      <c r="AB29" s="7">
        <f>IF(OR($AJ29&lt;&gt;"da",Y29=""),"",IFERROR(Y29*1000/J29,""))</f>
        <v/>
      </c>
      <c r="AC29" s="7">
        <f>IF(OR($AJ29&lt;&gt;"da",Z29=""),"",IFERROR(Z29*1000/J29,""))</f>
        <v/>
      </c>
      <c r="AD29" s="8" t="n">
        <v>41</v>
      </c>
      <c r="AE29" s="8" t="n">
        <v>41</v>
      </c>
      <c r="AF29" s="9" t="n"/>
      <c r="AG29" s="9" t="n"/>
      <c r="AH29" s="9" t="n"/>
      <c r="AI29" s="9" t="n"/>
      <c r="AJ29" t="inlineStr">
        <is>
          <t>da</t>
        </is>
      </c>
      <c r="AL29" t="inlineStr">
        <is>
          <t>NUTS 2024</t>
        </is>
      </c>
      <c r="AM29" t="inlineStr">
        <is>
          <t>RO2</t>
        </is>
      </c>
      <c r="AN29" t="inlineStr">
        <is>
          <t>Macroregiunea Doi</t>
        </is>
      </c>
      <c r="AO29" t="inlineStr">
        <is>
          <t>RO21</t>
        </is>
      </c>
      <c r="AP29" t="inlineStr">
        <is>
          <t>Nord-Est</t>
        </is>
      </c>
      <c r="AQ29" t="inlineStr">
        <is>
          <t>RO214</t>
        </is>
      </c>
      <c r="AR29" t="inlineStr">
        <is>
          <t>Neamț</t>
        </is>
      </c>
      <c r="AS29" s="9" t="n"/>
      <c r="AT29" t="inlineStr">
        <is>
          <t>full_year_not_available</t>
        </is>
      </c>
      <c r="AU29" s="9" t="n"/>
      <c r="AV29" s="9" t="n"/>
    </row>
    <row r="30">
      <c r="A30" t="n">
        <v>2026</v>
      </c>
      <c r="B30" t="inlineStr">
        <is>
          <t>125347</t>
        </is>
      </c>
      <c r="C30" t="inlineStr">
        <is>
          <t>Slatina</t>
        </is>
      </c>
      <c r="D30" t="inlineStr">
        <is>
          <t>Olt</t>
        </is>
      </c>
      <c r="E30" t="inlineStr">
        <is>
          <t>nu</t>
        </is>
      </c>
      <c r="F30" t="inlineStr">
        <is>
          <t>status_missing_pdf</t>
        </is>
      </c>
      <c r="H30" s="5" t="n"/>
      <c r="J30" s="6" t="n">
        <v>63487</v>
      </c>
      <c r="K30" t="inlineStr">
        <is>
          <t>2021-12-01</t>
        </is>
      </c>
      <c r="L30" s="7" t="n">
        <v>53.93</v>
      </c>
      <c r="M30" s="7">
        <f>IFERROR(J30/L30,"")</f>
        <v/>
      </c>
      <c r="N30" s="7" t="n"/>
      <c r="O30" s="7" t="n"/>
      <c r="P30" s="7">
        <f>IF(OR($E30&lt;&gt;"da",N30="",O30=""),"",N30-O30)</f>
        <v/>
      </c>
      <c r="Q30" s="7">
        <f>IF(OR($E30&lt;&gt;"da",N30=""),"",IFERROR(N30*1000/J30,""))</f>
        <v/>
      </c>
      <c r="R30" s="7">
        <f>IF(OR($E30&lt;&gt;"da",O30=""),"",IFERROR(O30*1000/J30,""))</f>
        <v/>
      </c>
      <c r="S30" s="7">
        <f>IF(OR($E30&lt;&gt;"da",P30=""),"",IFERROR(P30*1000/J30,""))</f>
        <v/>
      </c>
      <c r="T30" s="8" t="n"/>
      <c r="U30" s="8" t="n"/>
      <c r="V30" s="8" t="n">
        <v>2</v>
      </c>
      <c r="W30" t="inlineStr">
        <is>
          <t>2026-06-30</t>
        </is>
      </c>
      <c r="X30" s="7" t="n">
        <v>203727.23232</v>
      </c>
      <c r="Y30" s="7" t="n">
        <v>165491.41826</v>
      </c>
      <c r="Z30" s="7">
        <f>IF(OR(X30="",Y30=""),"",X30-Y30)</f>
        <v/>
      </c>
      <c r="AA30" s="7">
        <f>IF(OR($AJ30&lt;&gt;"da",X30=""),"",IFERROR(X30*1000/J30,""))</f>
        <v/>
      </c>
      <c r="AB30" s="7">
        <f>IF(OR($AJ30&lt;&gt;"da",Y30=""),"",IFERROR(Y30*1000/J30,""))</f>
        <v/>
      </c>
      <c r="AC30" s="7">
        <f>IF(OR($AJ30&lt;&gt;"da",Z30=""),"",IFERROR(Z30*1000/J30,""))</f>
        <v/>
      </c>
      <c r="AD30" s="8" t="n">
        <v>32</v>
      </c>
      <c r="AE30" s="8" t="n">
        <v>41</v>
      </c>
      <c r="AF30" s="9" t="n"/>
      <c r="AG30" s="9" t="n"/>
      <c r="AH30" s="9" t="n"/>
      <c r="AI30" s="9" t="n"/>
      <c r="AJ30" t="inlineStr">
        <is>
          <t>da</t>
        </is>
      </c>
      <c r="AL30" t="inlineStr">
        <is>
          <t>NUTS 2024</t>
        </is>
      </c>
      <c r="AM30" t="inlineStr">
        <is>
          <t>RO4</t>
        </is>
      </c>
      <c r="AN30" t="inlineStr">
        <is>
          <t>Macroregiunea Patru</t>
        </is>
      </c>
      <c r="AO30" t="inlineStr">
        <is>
          <t>RO41</t>
        </is>
      </c>
      <c r="AP30" t="inlineStr">
        <is>
          <t>Sud-Vest Oltenia</t>
        </is>
      </c>
      <c r="AQ30" t="inlineStr">
        <is>
          <t>RO414</t>
        </is>
      </c>
      <c r="AR30" t="inlineStr">
        <is>
          <t>Olt</t>
        </is>
      </c>
      <c r="AS30" s="9" t="n"/>
      <c r="AT30" t="inlineStr">
        <is>
          <t>full_year_not_available</t>
        </is>
      </c>
      <c r="AU30" s="9" t="n"/>
      <c r="AV30" s="9" t="n"/>
    </row>
    <row r="31">
      <c r="A31" t="n">
        <v>2026</v>
      </c>
      <c r="B31" t="inlineStr">
        <is>
          <t>130534</t>
        </is>
      </c>
      <c r="C31" t="inlineStr">
        <is>
          <t>Ploiești</t>
        </is>
      </c>
      <c r="D31" t="inlineStr">
        <is>
          <t>Prahova</t>
        </is>
      </c>
      <c r="E31" t="inlineStr">
        <is>
          <t>nu</t>
        </is>
      </c>
      <c r="F31" t="inlineStr">
        <is>
          <t>status_pending</t>
        </is>
      </c>
      <c r="H31" s="5" t="n"/>
      <c r="J31" s="6" t="n">
        <v>180540</v>
      </c>
      <c r="K31" t="inlineStr">
        <is>
          <t>2021-12-01</t>
        </is>
      </c>
      <c r="L31" s="7" t="n">
        <v>89.2</v>
      </c>
      <c r="M31" s="7">
        <f>IFERROR(J31/L31,"")</f>
        <v/>
      </c>
      <c r="N31" s="7" t="n"/>
      <c r="O31" s="7" t="n"/>
      <c r="P31" s="7">
        <f>IF(OR($E31&lt;&gt;"da",N31="",O31=""),"",N31-O31)</f>
        <v/>
      </c>
      <c r="Q31" s="7">
        <f>IF(OR($E31&lt;&gt;"da",N31=""),"",IFERROR(N31*1000/J31,""))</f>
        <v/>
      </c>
      <c r="R31" s="7">
        <f>IF(OR($E31&lt;&gt;"da",O31=""),"",IFERROR(O31*1000/J31,""))</f>
        <v/>
      </c>
      <c r="S31" s="7">
        <f>IF(OR($E31&lt;&gt;"da",P31=""),"",IFERROR(P31*1000/J31,""))</f>
        <v/>
      </c>
      <c r="T31" s="8" t="n"/>
      <c r="U31" s="8" t="n"/>
      <c r="V31" s="8" t="n">
        <v>2</v>
      </c>
      <c r="W31" t="inlineStr">
        <is>
          <t>2026-06-30</t>
        </is>
      </c>
      <c r="X31" s="7" t="n">
        <v>549139.3729</v>
      </c>
      <c r="Y31" s="7" t="n">
        <v>528810.9787100001</v>
      </c>
      <c r="Z31" s="7">
        <f>IF(OR(X31="",Y31=""),"",X31-Y31)</f>
        <v/>
      </c>
      <c r="AA31" s="7">
        <f>IF(OR($AJ31&lt;&gt;"da",X31=""),"",IFERROR(X31*1000/J31,""))</f>
        <v/>
      </c>
      <c r="AB31" s="7">
        <f>IF(OR($AJ31&lt;&gt;"da",Y31=""),"",IFERROR(Y31*1000/J31,""))</f>
        <v/>
      </c>
      <c r="AC31" s="7">
        <f>IF(OR($AJ31&lt;&gt;"da",Z31=""),"",IFERROR(Z31*1000/J31,""))</f>
        <v/>
      </c>
      <c r="AD31" s="8" t="n">
        <v>23</v>
      </c>
      <c r="AE31" s="8" t="n">
        <v>41</v>
      </c>
      <c r="AF31" s="9" t="n"/>
      <c r="AG31" s="9" t="n"/>
      <c r="AH31" s="9" t="n"/>
      <c r="AI31" s="9" t="n"/>
      <c r="AJ31" t="inlineStr">
        <is>
          <t>da</t>
        </is>
      </c>
      <c r="AL31" t="inlineStr">
        <is>
          <t>NUTS 2024</t>
        </is>
      </c>
      <c r="AM31" t="inlineStr">
        <is>
          <t>RO3</t>
        </is>
      </c>
      <c r="AN31" t="inlineStr">
        <is>
          <t>Macroregiunea Trei</t>
        </is>
      </c>
      <c r="AO31" t="inlineStr">
        <is>
          <t>RO31</t>
        </is>
      </c>
      <c r="AP31" t="inlineStr">
        <is>
          <t>Sud-Muntenia</t>
        </is>
      </c>
      <c r="AQ31" t="inlineStr">
        <is>
          <t>RO316</t>
        </is>
      </c>
      <c r="AR31" t="inlineStr">
        <is>
          <t>Prahova</t>
        </is>
      </c>
      <c r="AS31" s="9" t="n"/>
      <c r="AT31" t="inlineStr">
        <is>
          <t>full_year_not_available</t>
        </is>
      </c>
      <c r="AU31" s="9" t="n"/>
      <c r="AV31" s="9" t="n"/>
    </row>
    <row r="32">
      <c r="A32" t="n">
        <v>2026</v>
      </c>
      <c r="B32" t="inlineStr">
        <is>
          <t>136483</t>
        </is>
      </c>
      <c r="C32" t="inlineStr">
        <is>
          <t>Satu Mare</t>
        </is>
      </c>
      <c r="D32" t="inlineStr">
        <is>
          <t>Satu Mare</t>
        </is>
      </c>
      <c r="E32" t="inlineStr">
        <is>
          <t>nu</t>
        </is>
      </c>
      <c r="F32" t="inlineStr">
        <is>
          <t>status_pending</t>
        </is>
      </c>
      <c r="H32" s="5" t="n"/>
      <c r="J32" s="6" t="n">
        <v>91520</v>
      </c>
      <c r="K32" t="inlineStr">
        <is>
          <t>2021-12-01</t>
        </is>
      </c>
      <c r="L32" s="7" t="n">
        <v>150.3</v>
      </c>
      <c r="M32" s="7">
        <f>IFERROR(J32/L32,"")</f>
        <v/>
      </c>
      <c r="N32" s="7" t="n"/>
      <c r="O32" s="7" t="n"/>
      <c r="P32" s="7">
        <f>IF(OR($E32&lt;&gt;"da",N32="",O32=""),"",N32-O32)</f>
        <v/>
      </c>
      <c r="Q32" s="7">
        <f>IF(OR($E32&lt;&gt;"da",N32=""),"",IFERROR(N32*1000/J32,""))</f>
        <v/>
      </c>
      <c r="R32" s="7">
        <f>IF(OR($E32&lt;&gt;"da",O32=""),"",IFERROR(O32*1000/J32,""))</f>
        <v/>
      </c>
      <c r="S32" s="7">
        <f>IF(OR($E32&lt;&gt;"da",P32=""),"",IFERROR(P32*1000/J32,""))</f>
        <v/>
      </c>
      <c r="T32" s="8" t="n"/>
      <c r="U32" s="8" t="n"/>
      <c r="V32" s="8" t="n">
        <v>2</v>
      </c>
      <c r="W32" t="inlineStr">
        <is>
          <t>2026-06-30</t>
        </is>
      </c>
      <c r="X32" s="7" t="n">
        <v>269734.3251</v>
      </c>
      <c r="Y32" s="7" t="n">
        <v>249176.70353</v>
      </c>
      <c r="Z32" s="7">
        <f>IF(OR(X32="",Y32=""),"",X32-Y32)</f>
        <v/>
      </c>
      <c r="AA32" s="7">
        <f>IF(OR($AJ32&lt;&gt;"da",X32=""),"",IFERROR(X32*1000/J32,""))</f>
        <v/>
      </c>
      <c r="AB32" s="7">
        <f>IF(OR($AJ32&lt;&gt;"da",Y32=""),"",IFERROR(Y32*1000/J32,""))</f>
        <v/>
      </c>
      <c r="AC32" s="7">
        <f>IF(OR($AJ32&lt;&gt;"da",Z32=""),"",IFERROR(Z32*1000/J32,""))</f>
        <v/>
      </c>
      <c r="AD32" s="8" t="n">
        <v>29</v>
      </c>
      <c r="AE32" s="8" t="n">
        <v>41</v>
      </c>
      <c r="AF32" s="9" t="n"/>
      <c r="AG32" s="9" t="n"/>
      <c r="AH32" s="9" t="n"/>
      <c r="AI32" s="9" t="n"/>
      <c r="AJ32" t="inlineStr">
        <is>
          <t>da</t>
        </is>
      </c>
      <c r="AL32" t="inlineStr">
        <is>
          <t>NUTS 2024</t>
        </is>
      </c>
      <c r="AM32" t="inlineStr">
        <is>
          <t>RO1</t>
        </is>
      </c>
      <c r="AN32" t="inlineStr">
        <is>
          <t>Macroregiunea Unu</t>
        </is>
      </c>
      <c r="AO32" t="inlineStr">
        <is>
          <t>RO11</t>
        </is>
      </c>
      <c r="AP32" t="inlineStr">
        <is>
          <t>Nord-Vest</t>
        </is>
      </c>
      <c r="AQ32" t="inlineStr">
        <is>
          <t>RO115</t>
        </is>
      </c>
      <c r="AR32" t="inlineStr">
        <is>
          <t>Satu Mare</t>
        </is>
      </c>
      <c r="AS32" s="9" t="n"/>
      <c r="AT32" t="inlineStr">
        <is>
          <t>full_year_not_available</t>
        </is>
      </c>
      <c r="AU32" s="9" t="n"/>
      <c r="AV32" s="9" t="n"/>
    </row>
    <row r="33">
      <c r="A33" t="n">
        <v>2026</v>
      </c>
      <c r="B33" t="inlineStr">
        <is>
          <t>139704</t>
        </is>
      </c>
      <c r="C33" t="inlineStr">
        <is>
          <t>Zalău</t>
        </is>
      </c>
      <c r="D33" t="inlineStr">
        <is>
          <t>Sălaj</t>
        </is>
      </c>
      <c r="E33" t="inlineStr">
        <is>
          <t>nu</t>
        </is>
      </c>
      <c r="F33" t="inlineStr">
        <is>
          <t>total_cheltuieli_lipsa</t>
        </is>
      </c>
      <c r="G33" t="inlineStr">
        <is>
          <t>verified</t>
        </is>
      </c>
      <c r="H33" s="5" t="n">
        <v>61.6</v>
      </c>
      <c r="I33" t="inlineStr">
        <is>
          <t>nu</t>
        </is>
      </c>
      <c r="J33" s="6" t="n">
        <v>52359</v>
      </c>
      <c r="K33" t="inlineStr">
        <is>
          <t>2021-12-01</t>
        </is>
      </c>
      <c r="L33" s="7" t="n">
        <v>90.09</v>
      </c>
      <c r="M33" s="7">
        <f>IFERROR(J33/L33,"")</f>
        <v/>
      </c>
      <c r="N33" s="7" t="n">
        <v>237564.02</v>
      </c>
      <c r="O33" s="7" t="n"/>
      <c r="P33" s="7">
        <f>IF(OR($E33&lt;&gt;"da",N33="",O33=""),"",N33-O33)</f>
        <v/>
      </c>
      <c r="Q33" s="7">
        <f>IF(OR($E33&lt;&gt;"da",N33=""),"",IFERROR(N33*1000/J33,""))</f>
        <v/>
      </c>
      <c r="R33" s="7">
        <f>IF(OR($E33&lt;&gt;"da",O33=""),"",IFERROR(O33*1000/J33,""))</f>
        <v/>
      </c>
      <c r="S33" s="7">
        <f>IF(OR($E33&lt;&gt;"da",P33=""),"",IFERROR(P33*1000/J33,""))</f>
        <v/>
      </c>
      <c r="T33" s="8" t="n"/>
      <c r="U33" s="8" t="n"/>
      <c r="V33" s="8" t="n">
        <v>2</v>
      </c>
      <c r="W33" t="inlineStr">
        <is>
          <t>2026-06-30</t>
        </is>
      </c>
      <c r="X33" s="7" t="n">
        <v>250515.30744</v>
      </c>
      <c r="Y33" s="7" t="n">
        <v>222907.89702</v>
      </c>
      <c r="Z33" s="7">
        <f>IF(OR(X33="",Y33=""),"",X33-Y33)</f>
        <v/>
      </c>
      <c r="AA33" s="7">
        <f>IF(OR($AJ33&lt;&gt;"da",X33=""),"",IFERROR(X33*1000/J33,""))</f>
        <v/>
      </c>
      <c r="AB33" s="7">
        <f>IF(OR($AJ33&lt;&gt;"da",Y33=""),"",IFERROR(Y33*1000/J33,""))</f>
        <v/>
      </c>
      <c r="AC33" s="7">
        <f>IF(OR($AJ33&lt;&gt;"da",Z33=""),"",IFERROR(Z33*1000/J33,""))</f>
        <v/>
      </c>
      <c r="AD33" s="8" t="n">
        <v>4</v>
      </c>
      <c r="AE33" s="8" t="n">
        <v>41</v>
      </c>
      <c r="AF33" s="9" t="n"/>
      <c r="AG33" s="9" t="n"/>
      <c r="AH33" s="9" t="n"/>
      <c r="AI33" s="9" t="n"/>
      <c r="AJ33" t="inlineStr">
        <is>
          <t>da</t>
        </is>
      </c>
      <c r="AL33" t="inlineStr">
        <is>
          <t>NUTS 2024</t>
        </is>
      </c>
      <c r="AM33" t="inlineStr">
        <is>
          <t>RO1</t>
        </is>
      </c>
      <c r="AN33" t="inlineStr">
        <is>
          <t>Macroregiunea Unu</t>
        </is>
      </c>
      <c r="AO33" t="inlineStr">
        <is>
          <t>RO11</t>
        </is>
      </c>
      <c r="AP33" t="inlineStr">
        <is>
          <t>Nord-Vest</t>
        </is>
      </c>
      <c r="AQ33" t="inlineStr">
        <is>
          <t>RO116</t>
        </is>
      </c>
      <c r="AR33" t="inlineStr">
        <is>
          <t>Sălaj</t>
        </is>
      </c>
      <c r="AS33" s="9" t="n"/>
      <c r="AT33" t="inlineStr">
        <is>
          <t>full_year_not_available</t>
        </is>
      </c>
      <c r="AU33" s="9" t="n"/>
      <c r="AV33" s="9" t="n"/>
    </row>
    <row r="34">
      <c r="A34" t="n">
        <v>2026</v>
      </c>
      <c r="B34" t="inlineStr">
        <is>
          <t>143450</t>
        </is>
      </c>
      <c r="C34" t="inlineStr">
        <is>
          <t>Sibiu</t>
        </is>
      </c>
      <c r="D34" t="inlineStr">
        <is>
          <t>Sibiu</t>
        </is>
      </c>
      <c r="E34" t="inlineStr">
        <is>
          <t>nu</t>
        </is>
      </c>
      <c r="F34" t="inlineStr">
        <is>
          <t>total_cheltuieli_lipsa</t>
        </is>
      </c>
      <c r="G34" t="inlineStr">
        <is>
          <t>verified</t>
        </is>
      </c>
      <c r="H34" s="5" t="n">
        <v>89.3</v>
      </c>
      <c r="I34" t="inlineStr">
        <is>
          <t>nu</t>
        </is>
      </c>
      <c r="J34" s="6" t="n">
        <v>134309</v>
      </c>
      <c r="K34" t="inlineStr">
        <is>
          <t>2021-12-01</t>
        </is>
      </c>
      <c r="L34" s="7" t="n">
        <v>121</v>
      </c>
      <c r="M34" s="7">
        <f>IFERROR(J34/L34,"")</f>
        <v/>
      </c>
      <c r="N34" s="7" t="n"/>
      <c r="O34" s="7" t="n"/>
      <c r="P34" s="7">
        <f>IF(OR($E34&lt;&gt;"da",N34="",O34=""),"",N34-O34)</f>
        <v/>
      </c>
      <c r="Q34" s="7">
        <f>IF(OR($E34&lt;&gt;"da",N34=""),"",IFERROR(N34*1000/J34,""))</f>
        <v/>
      </c>
      <c r="R34" s="7">
        <f>IF(OR($E34&lt;&gt;"da",O34=""),"",IFERROR(O34*1000/J34,""))</f>
        <v/>
      </c>
      <c r="S34" s="7">
        <f>IF(OR($E34&lt;&gt;"da",P34=""),"",IFERROR(P34*1000/J34,""))</f>
        <v/>
      </c>
      <c r="T34" s="8" t="n"/>
      <c r="U34" s="8" t="n"/>
      <c r="V34" s="8" t="n">
        <v>2</v>
      </c>
      <c r="W34" t="inlineStr">
        <is>
          <t>2026-06-30</t>
        </is>
      </c>
      <c r="X34" s="7" t="n">
        <v>581688.40923</v>
      </c>
      <c r="Y34" s="7" t="n">
        <v>361616.11161</v>
      </c>
      <c r="Z34" s="7">
        <f>IF(OR(X34="",Y34=""),"",X34-Y34)</f>
        <v/>
      </c>
      <c r="AA34" s="7">
        <f>IF(OR($AJ34&lt;&gt;"da",X34=""),"",IFERROR(X34*1000/J34,""))</f>
        <v/>
      </c>
      <c r="AB34" s="7">
        <f>IF(OR($AJ34&lt;&gt;"da",Y34=""),"",IFERROR(Y34*1000/J34,""))</f>
        <v/>
      </c>
      <c r="AC34" s="7">
        <f>IF(OR($AJ34&lt;&gt;"da",Z34=""),"",IFERROR(Z34*1000/J34,""))</f>
        <v/>
      </c>
      <c r="AD34" s="8" t="n">
        <v>30</v>
      </c>
      <c r="AE34" s="8" t="n">
        <v>41</v>
      </c>
      <c r="AF34" s="9" t="n"/>
      <c r="AG34" s="9" t="n"/>
      <c r="AH34" s="9" t="n"/>
      <c r="AI34" s="9" t="n"/>
      <c r="AJ34" t="inlineStr">
        <is>
          <t>da</t>
        </is>
      </c>
      <c r="AL34" t="inlineStr">
        <is>
          <t>NUTS 2024</t>
        </is>
      </c>
      <c r="AM34" t="inlineStr">
        <is>
          <t>RO1</t>
        </is>
      </c>
      <c r="AN34" t="inlineStr">
        <is>
          <t>Macroregiunea Unu</t>
        </is>
      </c>
      <c r="AO34" t="inlineStr">
        <is>
          <t>RO12</t>
        </is>
      </c>
      <c r="AP34" t="inlineStr">
        <is>
          <t>Centru</t>
        </is>
      </c>
      <c r="AQ34" t="inlineStr">
        <is>
          <t>RO126</t>
        </is>
      </c>
      <c r="AR34" t="inlineStr">
        <is>
          <t>Sibiu</t>
        </is>
      </c>
      <c r="AS34" s="9" t="n"/>
      <c r="AT34" t="inlineStr">
        <is>
          <t>full_year_not_available</t>
        </is>
      </c>
      <c r="AU34" s="9" t="n"/>
      <c r="AV34" s="9" t="n"/>
    </row>
    <row r="35">
      <c r="A35" t="n">
        <v>2026</v>
      </c>
      <c r="B35" t="inlineStr">
        <is>
          <t>146263</t>
        </is>
      </c>
      <c r="C35" t="inlineStr">
        <is>
          <t>Suceava</t>
        </is>
      </c>
      <c r="D35" t="inlineStr">
        <is>
          <t>Suceava</t>
        </is>
      </c>
      <c r="E35" t="inlineStr">
        <is>
          <t>nu</t>
        </is>
      </c>
      <c r="F35" t="inlineStr">
        <is>
          <t>total_cheltuieli_lipsa</t>
        </is>
      </c>
      <c r="G35" t="inlineStr">
        <is>
          <t>verified</t>
        </is>
      </c>
      <c r="H35" s="5" t="n">
        <v>94</v>
      </c>
      <c r="I35" t="inlineStr">
        <is>
          <t>nu</t>
        </is>
      </c>
      <c r="J35" s="6" t="n">
        <v>84322</v>
      </c>
      <c r="K35" t="inlineStr">
        <is>
          <t>2021-12-01</t>
        </is>
      </c>
      <c r="L35" s="7" t="n">
        <v>52</v>
      </c>
      <c r="M35" s="7">
        <f>IFERROR(J35/L35,"")</f>
        <v/>
      </c>
      <c r="N35" s="7" t="n">
        <v>756734.8100000001</v>
      </c>
      <c r="O35" s="7" t="n"/>
      <c r="P35" s="7">
        <f>IF(OR($E35&lt;&gt;"da",N35="",O35=""),"",N35-O35)</f>
        <v/>
      </c>
      <c r="Q35" s="7">
        <f>IF(OR($E35&lt;&gt;"da",N35=""),"",IFERROR(N35*1000/J35,""))</f>
        <v/>
      </c>
      <c r="R35" s="7">
        <f>IF(OR($E35&lt;&gt;"da",O35=""),"",IFERROR(O35*1000/J35,""))</f>
        <v/>
      </c>
      <c r="S35" s="7">
        <f>IF(OR($E35&lt;&gt;"da",P35=""),"",IFERROR(P35*1000/J35,""))</f>
        <v/>
      </c>
      <c r="T35" s="8" t="n"/>
      <c r="U35" s="8" t="n"/>
      <c r="V35" s="8" t="n">
        <v>2</v>
      </c>
      <c r="W35" t="inlineStr">
        <is>
          <t>2026-06-30</t>
        </is>
      </c>
      <c r="X35" s="7" t="n">
        <v>378351.85897</v>
      </c>
      <c r="Y35" s="7" t="n">
        <v>283454.40744</v>
      </c>
      <c r="Z35" s="7">
        <f>IF(OR(X35="",Y35=""),"",X35-Y35)</f>
        <v/>
      </c>
      <c r="AA35" s="7">
        <f>IF(OR($AJ35&lt;&gt;"da",X35=""),"",IFERROR(X35*1000/J35,""))</f>
        <v/>
      </c>
      <c r="AB35" s="7">
        <f>IF(OR($AJ35&lt;&gt;"da",Y35=""),"",IFERROR(Y35*1000/J35,""))</f>
        <v/>
      </c>
      <c r="AC35" s="7">
        <f>IF(OR($AJ35&lt;&gt;"da",Z35=""),"",IFERROR(Z35*1000/J35,""))</f>
        <v/>
      </c>
      <c r="AD35" s="8" t="n">
        <v>14</v>
      </c>
      <c r="AE35" s="8" t="n">
        <v>41</v>
      </c>
      <c r="AF35" s="9" t="n"/>
      <c r="AG35" s="9" t="n"/>
      <c r="AH35" s="9" t="n"/>
      <c r="AI35" s="9" t="n"/>
      <c r="AJ35" t="inlineStr">
        <is>
          <t>da</t>
        </is>
      </c>
      <c r="AL35" t="inlineStr">
        <is>
          <t>NUTS 2024</t>
        </is>
      </c>
      <c r="AM35" t="inlineStr">
        <is>
          <t>RO2</t>
        </is>
      </c>
      <c r="AN35" t="inlineStr">
        <is>
          <t>Macroregiunea Doi</t>
        </is>
      </c>
      <c r="AO35" t="inlineStr">
        <is>
          <t>RO21</t>
        </is>
      </c>
      <c r="AP35" t="inlineStr">
        <is>
          <t>Nord-Est</t>
        </is>
      </c>
      <c r="AQ35" t="inlineStr">
        <is>
          <t>RO215</t>
        </is>
      </c>
      <c r="AR35" t="inlineStr">
        <is>
          <t>Suceava</t>
        </is>
      </c>
      <c r="AS35" s="9" t="n"/>
      <c r="AT35" t="inlineStr">
        <is>
          <t>full_year_not_available</t>
        </is>
      </c>
      <c r="AU35" s="9" t="n"/>
      <c r="AV35" s="9" t="n"/>
    </row>
    <row r="36">
      <c r="A36" t="n">
        <v>2026</v>
      </c>
      <c r="B36" t="inlineStr">
        <is>
          <t>151790</t>
        </is>
      </c>
      <c r="C36" t="inlineStr">
        <is>
          <t>Alexandria</t>
        </is>
      </c>
      <c r="D36" t="inlineStr">
        <is>
          <t>Teleorman</t>
        </is>
      </c>
      <c r="E36" t="inlineStr">
        <is>
          <t>nu</t>
        </is>
      </c>
      <c r="F36" t="inlineStr">
        <is>
          <t>total_cheltuieli_lipsa</t>
        </is>
      </c>
      <c r="G36" t="inlineStr">
        <is>
          <t>verified</t>
        </is>
      </c>
      <c r="H36" s="5" t="n">
        <v>98.8</v>
      </c>
      <c r="I36" t="inlineStr">
        <is>
          <t>nu</t>
        </is>
      </c>
      <c r="J36" s="6" t="n">
        <v>40390</v>
      </c>
      <c r="K36" t="inlineStr">
        <is>
          <t>2021-12-01</t>
        </is>
      </c>
      <c r="L36" s="7" t="n">
        <v>9.56</v>
      </c>
      <c r="M36" s="7">
        <f>IFERROR(J36/L36,"")</f>
        <v/>
      </c>
      <c r="N36" s="7" t="n"/>
      <c r="O36" s="7" t="n"/>
      <c r="P36" s="7">
        <f>IF(OR($E36&lt;&gt;"da",N36="",O36=""),"",N36-O36)</f>
        <v/>
      </c>
      <c r="Q36" s="7">
        <f>IF(OR($E36&lt;&gt;"da",N36=""),"",IFERROR(N36*1000/J36,""))</f>
        <v/>
      </c>
      <c r="R36" s="7">
        <f>IF(OR($E36&lt;&gt;"da",O36=""),"",IFERROR(O36*1000/J36,""))</f>
        <v/>
      </c>
      <c r="S36" s="7">
        <f>IF(OR($E36&lt;&gt;"da",P36=""),"",IFERROR(P36*1000/J36,""))</f>
        <v/>
      </c>
      <c r="T36" s="8" t="n"/>
      <c r="U36" s="8" t="n"/>
      <c r="V36" s="8" t="n">
        <v>2</v>
      </c>
      <c r="W36" t="inlineStr">
        <is>
          <t>2026-06-30</t>
        </is>
      </c>
      <c r="X36" s="7" t="n">
        <v>127144.764</v>
      </c>
      <c r="Y36" s="7" t="n">
        <v>82130.74713</v>
      </c>
      <c r="Z36" s="7">
        <f>IF(OR(X36="",Y36=""),"",X36-Y36)</f>
        <v/>
      </c>
      <c r="AA36" s="7">
        <f>IF(OR($AJ36&lt;&gt;"da",X36=""),"",IFERROR(X36*1000/J36,""))</f>
        <v/>
      </c>
      <c r="AB36" s="7">
        <f>IF(OR($AJ36&lt;&gt;"da",Y36=""),"",IFERROR(Y36*1000/J36,""))</f>
        <v/>
      </c>
      <c r="AC36" s="7">
        <f>IF(OR($AJ36&lt;&gt;"da",Z36=""),"",IFERROR(Z36*1000/J36,""))</f>
        <v/>
      </c>
      <c r="AD36" s="8" t="n">
        <v>39</v>
      </c>
      <c r="AE36" s="8" t="n">
        <v>41</v>
      </c>
      <c r="AF36" s="9" t="n"/>
      <c r="AG36" s="9" t="n"/>
      <c r="AH36" s="9" t="n"/>
      <c r="AI36" s="9" t="n"/>
      <c r="AJ36" t="inlineStr">
        <is>
          <t>da</t>
        </is>
      </c>
      <c r="AL36" t="inlineStr">
        <is>
          <t>NUTS 2024</t>
        </is>
      </c>
      <c r="AM36" t="inlineStr">
        <is>
          <t>RO3</t>
        </is>
      </c>
      <c r="AN36" t="inlineStr">
        <is>
          <t>Macroregiunea Trei</t>
        </is>
      </c>
      <c r="AO36" t="inlineStr">
        <is>
          <t>RO31</t>
        </is>
      </c>
      <c r="AP36" t="inlineStr">
        <is>
          <t>Sud-Muntenia</t>
        </is>
      </c>
      <c r="AQ36" t="inlineStr">
        <is>
          <t>RO317</t>
        </is>
      </c>
      <c r="AR36" t="inlineStr">
        <is>
          <t>Teleorman</t>
        </is>
      </c>
      <c r="AS36" s="9" t="n"/>
      <c r="AT36" t="inlineStr">
        <is>
          <t>full_year_not_available</t>
        </is>
      </c>
      <c r="AU36" s="9" t="n"/>
      <c r="AV36" s="9" t="n"/>
    </row>
    <row r="37">
      <c r="A37" t="n">
        <v>2026</v>
      </c>
      <c r="B37" t="inlineStr">
        <is>
          <t>155243</t>
        </is>
      </c>
      <c r="C37" t="inlineStr">
        <is>
          <t>Timișoara</t>
        </is>
      </c>
      <c r="D37" t="inlineStr">
        <is>
          <t>Timiș</t>
        </is>
      </c>
      <c r="E37" t="inlineStr">
        <is>
          <t>nu</t>
        </is>
      </c>
      <c r="F37" t="inlineStr">
        <is>
          <t>total_cheltuieli_lipsa</t>
        </is>
      </c>
      <c r="G37" t="inlineStr">
        <is>
          <t>verified</t>
        </is>
      </c>
      <c r="H37" s="5" t="n">
        <v>77.40000000000001</v>
      </c>
      <c r="I37" t="inlineStr">
        <is>
          <t>nu</t>
        </is>
      </c>
      <c r="J37" s="6" t="n">
        <v>250849</v>
      </c>
      <c r="K37" t="inlineStr">
        <is>
          <t>2021-12-01</t>
        </is>
      </c>
      <c r="L37" s="7" t="n">
        <v>130.5</v>
      </c>
      <c r="M37" s="7">
        <f>IFERROR(J37/L37,"")</f>
        <v/>
      </c>
      <c r="N37" s="7" t="n">
        <v>2676943.01</v>
      </c>
      <c r="O37" s="7" t="n"/>
      <c r="P37" s="7">
        <f>IF(OR($E37&lt;&gt;"da",N37="",O37=""),"",N37-O37)</f>
        <v/>
      </c>
      <c r="Q37" s="7">
        <f>IF(OR($E37&lt;&gt;"da",N37=""),"",IFERROR(N37*1000/J37,""))</f>
        <v/>
      </c>
      <c r="R37" s="7">
        <f>IF(OR($E37&lt;&gt;"da",O37=""),"",IFERROR(O37*1000/J37,""))</f>
        <v/>
      </c>
      <c r="S37" s="7">
        <f>IF(OR($E37&lt;&gt;"da",P37=""),"",IFERROR(P37*1000/J37,""))</f>
        <v/>
      </c>
      <c r="T37" s="8" t="n"/>
      <c r="U37" s="8" t="n"/>
      <c r="V37" s="8" t="n">
        <v>2</v>
      </c>
      <c r="W37" t="inlineStr">
        <is>
          <t>2026-06-30</t>
        </is>
      </c>
      <c r="X37" s="7" t="n">
        <v>914730.47048</v>
      </c>
      <c r="Y37" s="7" t="n">
        <v>799913.1582900001</v>
      </c>
      <c r="Z37" s="7">
        <f>IF(OR(X37="",Y37=""),"",X37-Y37)</f>
        <v/>
      </c>
      <c r="AA37" s="7">
        <f>IF(OR($AJ37&lt;&gt;"da",X37=""),"",IFERROR(X37*1000/J37,""))</f>
        <v/>
      </c>
      <c r="AB37" s="7">
        <f>IF(OR($AJ37&lt;&gt;"da",Y37=""),"",IFERROR(Y37*1000/J37,""))</f>
        <v/>
      </c>
      <c r="AC37" s="7">
        <f>IF(OR($AJ37&lt;&gt;"da",Z37=""),"",IFERROR(Z37*1000/J37,""))</f>
        <v/>
      </c>
      <c r="AD37" s="8" t="n">
        <v>17</v>
      </c>
      <c r="AE37" s="8" t="n">
        <v>41</v>
      </c>
      <c r="AF37" s="9" t="n"/>
      <c r="AG37" s="9" t="n"/>
      <c r="AH37" s="9" t="n"/>
      <c r="AI37" s="9" t="n"/>
      <c r="AJ37" t="inlineStr">
        <is>
          <t>da</t>
        </is>
      </c>
      <c r="AL37" t="inlineStr">
        <is>
          <t>NUTS 2024</t>
        </is>
      </c>
      <c r="AM37" t="inlineStr">
        <is>
          <t>RO4</t>
        </is>
      </c>
      <c r="AN37" t="inlineStr">
        <is>
          <t>Macroregiunea Patru</t>
        </is>
      </c>
      <c r="AO37" t="inlineStr">
        <is>
          <t>RO42</t>
        </is>
      </c>
      <c r="AP37" t="inlineStr">
        <is>
          <t>Vest</t>
        </is>
      </c>
      <c r="AQ37" t="inlineStr">
        <is>
          <t>RO424</t>
        </is>
      </c>
      <c r="AR37" t="inlineStr">
        <is>
          <t>Timiș</t>
        </is>
      </c>
      <c r="AS37" s="9" t="n"/>
      <c r="AT37" t="inlineStr">
        <is>
          <t>full_year_not_available</t>
        </is>
      </c>
      <c r="AU37" s="9" t="n"/>
      <c r="AV37" s="9" t="n"/>
    </row>
    <row r="38">
      <c r="A38" t="n">
        <v>2026</v>
      </c>
      <c r="B38" t="inlineStr">
        <is>
          <t>159614</t>
        </is>
      </c>
      <c r="C38" t="inlineStr">
        <is>
          <t>Tulcea</t>
        </is>
      </c>
      <c r="D38" t="inlineStr">
        <is>
          <t>Tulcea</t>
        </is>
      </c>
      <c r="E38" t="inlineStr">
        <is>
          <t>nu</t>
        </is>
      </c>
      <c r="F38" t="inlineStr">
        <is>
          <t>total_cheltuieli_lipsa</t>
        </is>
      </c>
      <c r="G38" t="inlineStr">
        <is>
          <t>verified</t>
        </is>
      </c>
      <c r="H38" s="5" t="n">
        <v>72.5</v>
      </c>
      <c r="I38" t="inlineStr">
        <is>
          <t>nu</t>
        </is>
      </c>
      <c r="J38" s="6" t="n">
        <v>65624</v>
      </c>
      <c r="K38" t="inlineStr">
        <is>
          <t>2021-12-01</t>
        </is>
      </c>
      <c r="L38" s="7" t="n">
        <v>199.94</v>
      </c>
      <c r="M38" s="7">
        <f>IFERROR(J38/L38,"")</f>
        <v/>
      </c>
      <c r="N38" s="7" t="n">
        <v>420978.85</v>
      </c>
      <c r="O38" s="7" t="n"/>
      <c r="P38" s="7">
        <f>IF(OR($E38&lt;&gt;"da",N38="",O38=""),"",N38-O38)</f>
        <v/>
      </c>
      <c r="Q38" s="7">
        <f>IF(OR($E38&lt;&gt;"da",N38=""),"",IFERROR(N38*1000/J38,""))</f>
        <v/>
      </c>
      <c r="R38" s="7">
        <f>IF(OR($E38&lt;&gt;"da",O38=""),"",IFERROR(O38*1000/J38,""))</f>
        <v/>
      </c>
      <c r="S38" s="7">
        <f>IF(OR($E38&lt;&gt;"da",P38=""),"",IFERROR(P38*1000/J38,""))</f>
        <v/>
      </c>
      <c r="T38" s="8" t="n"/>
      <c r="U38" s="8" t="n"/>
      <c r="V38" s="8" t="n">
        <v>2</v>
      </c>
      <c r="W38" t="inlineStr">
        <is>
          <t>2026-06-30</t>
        </is>
      </c>
      <c r="X38" s="7" t="n">
        <v>213482.62334</v>
      </c>
      <c r="Y38" s="7" t="n">
        <v>179142.81624</v>
      </c>
      <c r="Z38" s="7">
        <f>IF(OR(X38="",Y38=""),"",X38-Y38)</f>
        <v/>
      </c>
      <c r="AA38" s="7">
        <f>IF(OR($AJ38&lt;&gt;"da",X38=""),"",IFERROR(X38*1000/J38,""))</f>
        <v/>
      </c>
      <c r="AB38" s="7">
        <f>IF(OR($AJ38&lt;&gt;"da",Y38=""),"",IFERROR(Y38*1000/J38,""))</f>
        <v/>
      </c>
      <c r="AC38" s="7">
        <f>IF(OR($AJ38&lt;&gt;"da",Z38=""),"",IFERROR(Z38*1000/J38,""))</f>
        <v/>
      </c>
      <c r="AD38" s="8" t="n">
        <v>28</v>
      </c>
      <c r="AE38" s="8" t="n">
        <v>41</v>
      </c>
      <c r="AF38" s="9" t="n"/>
      <c r="AG38" s="9" t="n"/>
      <c r="AH38" s="9" t="n"/>
      <c r="AI38" s="9" t="n"/>
      <c r="AJ38" t="inlineStr">
        <is>
          <t>da</t>
        </is>
      </c>
      <c r="AL38" t="inlineStr">
        <is>
          <t>NUTS 2024</t>
        </is>
      </c>
      <c r="AM38" t="inlineStr">
        <is>
          <t>RO2</t>
        </is>
      </c>
      <c r="AN38" t="inlineStr">
        <is>
          <t>Macroregiunea Doi</t>
        </is>
      </c>
      <c r="AO38" t="inlineStr">
        <is>
          <t>RO22</t>
        </is>
      </c>
      <c r="AP38" t="inlineStr">
        <is>
          <t>Sud-Est</t>
        </is>
      </c>
      <c r="AQ38" t="inlineStr">
        <is>
          <t>RO225</t>
        </is>
      </c>
      <c r="AR38" t="inlineStr">
        <is>
          <t>Tulcea</t>
        </is>
      </c>
      <c r="AS38" s="9" t="n"/>
      <c r="AT38" t="inlineStr">
        <is>
          <t>full_year_not_available</t>
        </is>
      </c>
      <c r="AU38" s="9" t="n"/>
      <c r="AV38" s="9" t="n"/>
    </row>
    <row r="39">
      <c r="A39" t="n">
        <v>2026</v>
      </c>
      <c r="B39" t="inlineStr">
        <is>
          <t>161945</t>
        </is>
      </c>
      <c r="C39" t="inlineStr">
        <is>
          <t>Vaslui</t>
        </is>
      </c>
      <c r="D39" t="inlineStr">
        <is>
          <t>Vaslui</t>
        </is>
      </c>
      <c r="E39" t="inlineStr">
        <is>
          <t>da</t>
        </is>
      </c>
      <c r="G39" t="inlineStr">
        <is>
          <t>verified</t>
        </is>
      </c>
      <c r="H39" s="5" t="n">
        <v>61.1</v>
      </c>
      <c r="I39" t="inlineStr">
        <is>
          <t>nu</t>
        </is>
      </c>
      <c r="J39" s="6" t="n">
        <v>63035</v>
      </c>
      <c r="K39" t="inlineStr">
        <is>
          <t>2021-12-01</t>
        </is>
      </c>
      <c r="L39" s="7" t="n">
        <v>68</v>
      </c>
      <c r="M39" s="7">
        <f>IFERROR(J39/L39,"")</f>
        <v/>
      </c>
      <c r="N39" s="7" t="n">
        <v>407948</v>
      </c>
      <c r="O39" s="7" t="n">
        <v>442655.347</v>
      </c>
      <c r="P39" s="7">
        <f>IF(OR($E39&lt;&gt;"da",N39="",O39=""),"",N39-O39)</f>
        <v/>
      </c>
      <c r="Q39" s="7">
        <f>IF(OR($E39&lt;&gt;"da",N39=""),"",IFERROR(N39*1000/J39,""))</f>
        <v/>
      </c>
      <c r="R39" s="7">
        <f>IF(OR($E39&lt;&gt;"da",O39=""),"",IFERROR(O39*1000/J39,""))</f>
        <v/>
      </c>
      <c r="S39" s="7">
        <f>IF(OR($E39&lt;&gt;"da",P39=""),"",IFERROR(P39*1000/J39,""))</f>
        <v/>
      </c>
      <c r="T39" s="8" t="n">
        <v>5</v>
      </c>
      <c r="U39" s="8" t="n">
        <v>9</v>
      </c>
      <c r="V39" s="8" t="n">
        <v>2</v>
      </c>
      <c r="W39" t="inlineStr">
        <is>
          <t>2026-06-30</t>
        </is>
      </c>
      <c r="X39" s="7" t="n">
        <v>191985.24409</v>
      </c>
      <c r="Y39" s="7" t="n">
        <v>143821.56753</v>
      </c>
      <c r="Z39" s="7">
        <f>IF(OR(X39="",Y39=""),"",X39-Y39)</f>
        <v/>
      </c>
      <c r="AA39" s="7">
        <f>IF(OR($AJ39&lt;&gt;"da",X39=""),"",IFERROR(X39*1000/J39,""))</f>
        <v/>
      </c>
      <c r="AB39" s="7">
        <f>IF(OR($AJ39&lt;&gt;"da",Y39=""),"",IFERROR(Y39*1000/J39,""))</f>
        <v/>
      </c>
      <c r="AC39" s="7">
        <f>IF(OR($AJ39&lt;&gt;"da",Z39=""),"",IFERROR(Z39*1000/J39,""))</f>
        <v/>
      </c>
      <c r="AD39" s="8" t="n">
        <v>35</v>
      </c>
      <c r="AE39" s="8" t="n">
        <v>41</v>
      </c>
      <c r="AF39" s="9" t="n">
        <v>47.1</v>
      </c>
      <c r="AG39" s="9" t="n">
        <v>32.5</v>
      </c>
      <c r="AH39" s="9" t="n">
        <v>-0.5600000000000001</v>
      </c>
      <c r="AI39" s="9" t="n">
        <v>-4.53</v>
      </c>
      <c r="AJ39" t="inlineStr">
        <is>
          <t>da</t>
        </is>
      </c>
      <c r="AL39" t="inlineStr">
        <is>
          <t>NUTS 2024</t>
        </is>
      </c>
      <c r="AM39" t="inlineStr">
        <is>
          <t>RO2</t>
        </is>
      </c>
      <c r="AN39" t="inlineStr">
        <is>
          <t>Macroregiunea Doi</t>
        </is>
      </c>
      <c r="AO39" t="inlineStr">
        <is>
          <t>RO21</t>
        </is>
      </c>
      <c r="AP39" t="inlineStr">
        <is>
          <t>Nord-Est</t>
        </is>
      </c>
      <c r="AQ39" t="inlineStr">
        <is>
          <t>RO216</t>
        </is>
      </c>
      <c r="AR39" t="inlineStr">
        <is>
          <t>Vaslui</t>
        </is>
      </c>
      <c r="AS39" s="9" t="n"/>
      <c r="AT39" t="inlineStr">
        <is>
          <t>full_year_not_available</t>
        </is>
      </c>
      <c r="AU39" s="9" t="n"/>
      <c r="AV39" s="9" t="n"/>
    </row>
    <row r="40">
      <c r="A40" t="n">
        <v>2026</v>
      </c>
      <c r="B40" t="inlineStr">
        <is>
          <t>167473</t>
        </is>
      </c>
      <c r="C40" t="inlineStr">
        <is>
          <t>Râmnicu Vâlcea</t>
        </is>
      </c>
      <c r="D40" t="inlineStr">
        <is>
          <t>Vâlcea</t>
        </is>
      </c>
      <c r="E40" t="inlineStr">
        <is>
          <t>nu</t>
        </is>
      </c>
      <c r="F40" t="inlineStr">
        <is>
          <t>status_missing_pdf</t>
        </is>
      </c>
      <c r="H40" s="5" t="n"/>
      <c r="J40" s="6" t="n">
        <v>93151</v>
      </c>
      <c r="K40" t="inlineStr">
        <is>
          <t>2021-12-01</t>
        </is>
      </c>
      <c r="L40" s="7" t="n">
        <v>89.52</v>
      </c>
      <c r="M40" s="7">
        <f>IFERROR(J40/L40,"")</f>
        <v/>
      </c>
      <c r="N40" s="7" t="n"/>
      <c r="O40" s="7" t="n"/>
      <c r="P40" s="7">
        <f>IF(OR($E40&lt;&gt;"da",N40="",O40=""),"",N40-O40)</f>
        <v/>
      </c>
      <c r="Q40" s="7">
        <f>IF(OR($E40&lt;&gt;"da",N40=""),"",IFERROR(N40*1000/J40,""))</f>
        <v/>
      </c>
      <c r="R40" s="7">
        <f>IF(OR($E40&lt;&gt;"da",O40=""),"",IFERROR(O40*1000/J40,""))</f>
        <v/>
      </c>
      <c r="S40" s="7">
        <f>IF(OR($E40&lt;&gt;"da",P40=""),"",IFERROR(P40*1000/J40,""))</f>
        <v/>
      </c>
      <c r="T40" s="8" t="n"/>
      <c r="U40" s="8" t="n"/>
      <c r="V40" s="8" t="n">
        <v>2</v>
      </c>
      <c r="W40" t="inlineStr">
        <is>
          <t>2026-06-30</t>
        </is>
      </c>
      <c r="X40" s="7" t="n">
        <v>373684.47002</v>
      </c>
      <c r="Y40" s="7" t="n">
        <v>320957.9904</v>
      </c>
      <c r="Z40" s="7">
        <f>IF(OR(X40="",Y40=""),"",X40-Y40)</f>
        <v/>
      </c>
      <c r="AA40" s="7">
        <f>IF(OR($AJ40&lt;&gt;"da",X40=""),"",IFERROR(X40*1000/J40,""))</f>
        <v/>
      </c>
      <c r="AB40" s="7">
        <f>IF(OR($AJ40&lt;&gt;"da",Y40=""),"",IFERROR(Y40*1000/J40,""))</f>
        <v/>
      </c>
      <c r="AC40" s="7">
        <f>IF(OR($AJ40&lt;&gt;"da",Z40=""),"",IFERROR(Z40*1000/J40,""))</f>
        <v/>
      </c>
      <c r="AD40" s="8" t="n">
        <v>13</v>
      </c>
      <c r="AE40" s="8" t="n">
        <v>41</v>
      </c>
      <c r="AF40" s="9" t="n"/>
      <c r="AG40" s="9" t="n"/>
      <c r="AH40" s="9" t="n"/>
      <c r="AI40" s="9" t="n"/>
      <c r="AJ40" t="inlineStr">
        <is>
          <t>da</t>
        </is>
      </c>
      <c r="AL40" t="inlineStr">
        <is>
          <t>NUTS 2024</t>
        </is>
      </c>
      <c r="AM40" t="inlineStr">
        <is>
          <t>RO4</t>
        </is>
      </c>
      <c r="AN40" t="inlineStr">
        <is>
          <t>Macroregiunea Patru</t>
        </is>
      </c>
      <c r="AO40" t="inlineStr">
        <is>
          <t>RO41</t>
        </is>
      </c>
      <c r="AP40" t="inlineStr">
        <is>
          <t>Sud-Vest Oltenia</t>
        </is>
      </c>
      <c r="AQ40" t="inlineStr">
        <is>
          <t>RO415</t>
        </is>
      </c>
      <c r="AR40" t="inlineStr">
        <is>
          <t>Vâlcea</t>
        </is>
      </c>
      <c r="AS40" s="9" t="n"/>
      <c r="AT40" t="inlineStr">
        <is>
          <t>full_year_not_available</t>
        </is>
      </c>
      <c r="AU40" s="9" t="n"/>
      <c r="AV40" s="9" t="n"/>
    </row>
    <row r="41">
      <c r="A41" t="n">
        <v>2026</v>
      </c>
      <c r="B41" t="inlineStr">
        <is>
          <t>174744</t>
        </is>
      </c>
      <c r="C41" t="inlineStr">
        <is>
          <t>Focșani</t>
        </is>
      </c>
      <c r="D41" t="inlineStr">
        <is>
          <t>Vrancea</t>
        </is>
      </c>
      <c r="E41" t="inlineStr">
        <is>
          <t>nu</t>
        </is>
      </c>
      <c r="F41" t="inlineStr">
        <is>
          <t>total_cheltuieli_lipsa</t>
        </is>
      </c>
      <c r="G41" t="inlineStr">
        <is>
          <t>verified</t>
        </is>
      </c>
      <c r="H41" s="5" t="n">
        <v>86.90000000000001</v>
      </c>
      <c r="I41" t="inlineStr">
        <is>
          <t>nu</t>
        </is>
      </c>
      <c r="J41" s="6" t="n">
        <v>66648</v>
      </c>
      <c r="K41" t="inlineStr">
        <is>
          <t>2021-12-01</t>
        </is>
      </c>
      <c r="L41" s="7" t="n">
        <v>54.8</v>
      </c>
      <c r="M41" s="7">
        <f>IFERROR(J41/L41,"")</f>
        <v/>
      </c>
      <c r="N41" s="7" t="n"/>
      <c r="O41" s="7" t="n"/>
      <c r="P41" s="7">
        <f>IF(OR($E41&lt;&gt;"da",N41="",O41=""),"",N41-O41)</f>
        <v/>
      </c>
      <c r="Q41" s="7">
        <f>IF(OR($E41&lt;&gt;"da",N41=""),"",IFERROR(N41*1000/J41,""))</f>
        <v/>
      </c>
      <c r="R41" s="7">
        <f>IF(OR($E41&lt;&gt;"da",O41=""),"",IFERROR(O41*1000/J41,""))</f>
        <v/>
      </c>
      <c r="S41" s="7">
        <f>IF(OR($E41&lt;&gt;"da",P41=""),"",IFERROR(P41*1000/J41,""))</f>
        <v/>
      </c>
      <c r="T41" s="8" t="n"/>
      <c r="U41" s="8" t="n"/>
      <c r="V41" s="8" t="n">
        <v>2</v>
      </c>
      <c r="W41" t="inlineStr">
        <is>
          <t>2026-06-30</t>
        </is>
      </c>
      <c r="X41" s="7" t="n">
        <v>251136.78689</v>
      </c>
      <c r="Y41" s="7" t="n">
        <v>214139.26473</v>
      </c>
      <c r="Z41" s="7">
        <f>IF(OR(X41="",Y41=""),"",X41-Y41)</f>
        <v/>
      </c>
      <c r="AA41" s="7">
        <f>IF(OR($AJ41&lt;&gt;"da",X41=""),"",IFERROR(X41*1000/J41,""))</f>
        <v/>
      </c>
      <c r="AB41" s="7">
        <f>IF(OR($AJ41&lt;&gt;"da",Y41=""),"",IFERROR(Y41*1000/J41,""))</f>
        <v/>
      </c>
      <c r="AC41" s="7">
        <f>IF(OR($AJ41&lt;&gt;"da",Z41=""),"",IFERROR(Z41*1000/J41,""))</f>
        <v/>
      </c>
      <c r="AD41" s="8" t="n">
        <v>16</v>
      </c>
      <c r="AE41" s="8" t="n">
        <v>41</v>
      </c>
      <c r="AF41" s="9" t="n"/>
      <c r="AG41" s="9" t="n"/>
      <c r="AH41" s="9" t="n"/>
      <c r="AI41" s="9" t="n"/>
      <c r="AJ41" t="inlineStr">
        <is>
          <t>da</t>
        </is>
      </c>
      <c r="AL41" t="inlineStr">
        <is>
          <t>NUTS 2024</t>
        </is>
      </c>
      <c r="AM41" t="inlineStr">
        <is>
          <t>RO2</t>
        </is>
      </c>
      <c r="AN41" t="inlineStr">
        <is>
          <t>Macroregiunea Doi</t>
        </is>
      </c>
      <c r="AO41" t="inlineStr">
        <is>
          <t>RO22</t>
        </is>
      </c>
      <c r="AP41" t="inlineStr">
        <is>
          <t>Sud-Est</t>
        </is>
      </c>
      <c r="AQ41" t="inlineStr">
        <is>
          <t>RO226</t>
        </is>
      </c>
      <c r="AR41" t="inlineStr">
        <is>
          <t>Vrancea</t>
        </is>
      </c>
      <c r="AS41" s="9" t="n"/>
      <c r="AT41" t="inlineStr">
        <is>
          <t>full_year_not_available</t>
        </is>
      </c>
      <c r="AU41" s="9" t="n"/>
      <c r="AV41" s="9" t="n"/>
    </row>
    <row r="42">
      <c r="A42" t="n">
        <v>2026</v>
      </c>
      <c r="B42" t="inlineStr">
        <is>
          <t>179132</t>
        </is>
      </c>
      <c r="C42" t="inlineStr">
        <is>
          <t>București</t>
        </is>
      </c>
      <c r="D42" t="inlineStr">
        <is>
          <t>București</t>
        </is>
      </c>
      <c r="E42" t="inlineStr">
        <is>
          <t>nu</t>
        </is>
      </c>
      <c r="F42" t="inlineStr">
        <is>
          <t>total_cheltuieli_lipsa</t>
        </is>
      </c>
      <c r="G42" t="inlineStr">
        <is>
          <t>verified</t>
        </is>
      </c>
      <c r="H42" s="5" t="n">
        <v>81.40000000000001</v>
      </c>
      <c r="I42" t="inlineStr">
        <is>
          <t>nu</t>
        </is>
      </c>
      <c r="J42" s="6" t="n">
        <v>1716961</v>
      </c>
      <c r="K42" t="inlineStr">
        <is>
          <t>2021-12-01</t>
        </is>
      </c>
      <c r="L42" s="7" t="n">
        <v>226</v>
      </c>
      <c r="M42" s="7">
        <f>IFERROR(J42/L42,"")</f>
        <v/>
      </c>
      <c r="N42" s="7" t="n">
        <v>5820631.41</v>
      </c>
      <c r="O42" s="7" t="n"/>
      <c r="P42" s="7">
        <f>IF(OR($E42&lt;&gt;"da",N42="",O42=""),"",N42-O42)</f>
        <v/>
      </c>
      <c r="Q42" s="7">
        <f>IF(OR($E42&lt;&gt;"da",N42=""),"",IFERROR(N42*1000/J42,""))</f>
        <v/>
      </c>
      <c r="R42" s="7">
        <f>IF(OR($E42&lt;&gt;"da",O42=""),"",IFERROR(O42*1000/J42,""))</f>
        <v/>
      </c>
      <c r="S42" s="7">
        <f>IF(OR($E42&lt;&gt;"da",P42=""),"",IFERROR(P42*1000/J42,""))</f>
        <v/>
      </c>
      <c r="T42" s="8" t="n"/>
      <c r="U42" s="8" t="n"/>
      <c r="V42" s="8" t="n">
        <v>2</v>
      </c>
      <c r="W42" t="inlineStr">
        <is>
          <t>2026-06-30</t>
        </is>
      </c>
      <c r="X42" s="7" t="n">
        <v>3958907.37664</v>
      </c>
      <c r="Y42" s="7" t="n">
        <v>3844201.96102</v>
      </c>
      <c r="Z42" s="7">
        <f>IF(OR(X42="",Y42=""),"",X42-Y42)</f>
        <v/>
      </c>
      <c r="AA42" s="7">
        <f>IF(OR($AJ42&lt;&gt;"da",X42=""),"",IFERROR(X42*1000/J42,""))</f>
        <v/>
      </c>
      <c r="AB42" s="7">
        <f>IF(OR($AJ42&lt;&gt;"da",Y42=""),"",IFERROR(Y42*1000/J42,""))</f>
        <v/>
      </c>
      <c r="AC42" s="7">
        <f>IF(OR($AJ42&lt;&gt;"da",Z42=""),"",IFERROR(Z42*1000/J42,""))</f>
        <v/>
      </c>
      <c r="AD42" s="8" t="n">
        <v>37</v>
      </c>
      <c r="AE42" s="8" t="n">
        <v>41</v>
      </c>
      <c r="AF42" s="9" t="n"/>
      <c r="AG42" s="9" t="n"/>
      <c r="AH42" s="9" t="n"/>
      <c r="AI42" s="9" t="n"/>
      <c r="AJ42" t="inlineStr">
        <is>
          <t>da</t>
        </is>
      </c>
      <c r="AL42" t="inlineStr">
        <is>
          <t>NUTS 2024</t>
        </is>
      </c>
      <c r="AM42" t="inlineStr">
        <is>
          <t>RO3</t>
        </is>
      </c>
      <c r="AN42" t="inlineStr">
        <is>
          <t>Macroregiunea Trei</t>
        </is>
      </c>
      <c r="AO42" t="inlineStr">
        <is>
          <t>RO32</t>
        </is>
      </c>
      <c r="AP42" t="inlineStr">
        <is>
          <t>București-Ilfov</t>
        </is>
      </c>
      <c r="AQ42" t="inlineStr">
        <is>
          <t>RO321</t>
        </is>
      </c>
      <c r="AR42" t="inlineStr">
        <is>
          <t>București</t>
        </is>
      </c>
      <c r="AS42" s="9" t="n"/>
      <c r="AT42" t="inlineStr">
        <is>
          <t>full_year_not_available</t>
        </is>
      </c>
      <c r="AU42" s="9" t="n"/>
      <c r="AV42" s="9" t="n"/>
    </row>
    <row r="43">
      <c r="A43" t="n">
        <v>2025</v>
      </c>
      <c r="B43" t="inlineStr">
        <is>
          <t>1017</t>
        </is>
      </c>
      <c r="C43" t="inlineStr">
        <is>
          <t>Alba Iulia</t>
        </is>
      </c>
      <c r="D43" t="inlineStr">
        <is>
          <t>Alba</t>
        </is>
      </c>
      <c r="E43" t="inlineStr">
        <is>
          <t>da</t>
        </is>
      </c>
      <c r="G43" t="inlineStr">
        <is>
          <t>verified</t>
        </is>
      </c>
      <c r="H43" s="5" t="n">
        <v>100</v>
      </c>
      <c r="I43" t="inlineStr">
        <is>
          <t>nu</t>
        </is>
      </c>
      <c r="J43" s="6" t="n">
        <v>64227</v>
      </c>
      <c r="K43" t="inlineStr">
        <is>
          <t>2021-12-01</t>
        </is>
      </c>
      <c r="L43" s="7" t="n">
        <v>103.65</v>
      </c>
      <c r="M43" s="7">
        <f>IFERROR(J43/L43,"")</f>
        <v/>
      </c>
      <c r="N43" s="7" t="n">
        <v>644564.3</v>
      </c>
      <c r="O43" s="7" t="n">
        <v>651927.73</v>
      </c>
      <c r="P43" s="7">
        <f>IF(OR($E43&lt;&gt;"da",N43="",O43=""),"",N43-O43)</f>
        <v/>
      </c>
      <c r="Q43" s="7">
        <f>IF(OR($E43&lt;&gt;"da",N43=""),"",IFERROR(N43*1000/J43,""))</f>
        <v/>
      </c>
      <c r="R43" s="7">
        <f>IF(OR($E43&lt;&gt;"da",O43=""),"",IFERROR(O43*1000/J43,""))</f>
        <v/>
      </c>
      <c r="S43" s="7">
        <f>IF(OR($E43&lt;&gt;"da",P43=""),"",IFERROR(P43*1000/J43,""))</f>
        <v/>
      </c>
      <c r="T43" s="8" t="n">
        <v>2</v>
      </c>
      <c r="U43" s="8" t="n">
        <v>14</v>
      </c>
      <c r="V43" s="8" t="n"/>
      <c r="X43" s="7" t="n"/>
      <c r="Y43" s="7" t="n"/>
      <c r="Z43" s="7">
        <f>IF(OR(X43="",Y43=""),"",X43-Y43)</f>
        <v/>
      </c>
      <c r="AA43" s="7">
        <f>IF(OR($AJ43&lt;&gt;"da",X43=""),"",IFERROR(X43*1000/J43,""))</f>
        <v/>
      </c>
      <c r="AB43" s="7">
        <f>IF(OR($AJ43&lt;&gt;"da",Y43=""),"",IFERROR(Y43*1000/J43,""))</f>
        <v/>
      </c>
      <c r="AC43" s="7">
        <f>IF(OR($AJ43&lt;&gt;"da",Z43=""),"",IFERROR(Z43*1000/J43,""))</f>
        <v/>
      </c>
      <c r="AD43" s="8" t="n"/>
      <c r="AE43" s="8" t="n"/>
      <c r="AF43" s="9" t="n"/>
      <c r="AG43" s="9" t="n"/>
      <c r="AH43" s="9" t="n"/>
      <c r="AI43" s="9" t="n"/>
      <c r="AJ43" t="inlineStr">
        <is>
          <t>nu</t>
        </is>
      </c>
      <c r="AK43" t="inlineStr">
        <is>
          <t>executie_lipsa</t>
        </is>
      </c>
      <c r="AL43" t="inlineStr">
        <is>
          <t>NUTS 2024</t>
        </is>
      </c>
      <c r="AM43" t="inlineStr">
        <is>
          <t>RO1</t>
        </is>
      </c>
      <c r="AN43" t="inlineStr">
        <is>
          <t>Macroregiunea Unu</t>
        </is>
      </c>
      <c r="AO43" t="inlineStr">
        <is>
          <t>RO12</t>
        </is>
      </c>
      <c r="AP43" t="inlineStr">
        <is>
          <t>Centru</t>
        </is>
      </c>
      <c r="AQ43" t="inlineStr">
        <is>
          <t>RO121</t>
        </is>
      </c>
      <c r="AR43" t="inlineStr">
        <is>
          <t>Alba</t>
        </is>
      </c>
      <c r="AS43" s="9" t="n">
        <v>6.8</v>
      </c>
      <c r="AT43" t="inlineStr">
        <is>
          <t>final</t>
        </is>
      </c>
      <c r="AU43" s="9" t="n"/>
      <c r="AV43" s="9" t="n"/>
    </row>
    <row r="44">
      <c r="A44" t="n">
        <v>2025</v>
      </c>
      <c r="B44" t="inlineStr">
        <is>
          <t>9262</t>
        </is>
      </c>
      <c r="C44" t="inlineStr">
        <is>
          <t>Arad</t>
        </is>
      </c>
      <c r="D44" t="inlineStr">
        <is>
          <t>Arad</t>
        </is>
      </c>
      <c r="E44" t="inlineStr">
        <is>
          <t>nu</t>
        </is>
      </c>
      <c r="F44" t="inlineStr">
        <is>
          <t>total_cheltuieli_lipsa</t>
        </is>
      </c>
      <c r="G44" t="inlineStr">
        <is>
          <t>verified</t>
        </is>
      </c>
      <c r="H44" s="5" t="n">
        <v>5</v>
      </c>
      <c r="I44" t="inlineStr">
        <is>
          <t>nu</t>
        </is>
      </c>
      <c r="J44" s="6" t="n">
        <v>145078</v>
      </c>
      <c r="K44" t="inlineStr">
        <is>
          <t>2021-12-01</t>
        </is>
      </c>
      <c r="L44" s="7" t="n">
        <v>116.5</v>
      </c>
      <c r="M44" s="7">
        <f>IFERROR(J44/L44,"")</f>
        <v/>
      </c>
      <c r="N44" s="7" t="n"/>
      <c r="O44" s="7" t="n"/>
      <c r="P44" s="7">
        <f>IF(OR($E44&lt;&gt;"da",N44="",O44=""),"",N44-O44)</f>
        <v/>
      </c>
      <c r="Q44" s="7">
        <f>IF(OR($E44&lt;&gt;"da",N44=""),"",IFERROR(N44*1000/J44,""))</f>
        <v/>
      </c>
      <c r="R44" s="7">
        <f>IF(OR($E44&lt;&gt;"da",O44=""),"",IFERROR(O44*1000/J44,""))</f>
        <v/>
      </c>
      <c r="S44" s="7">
        <f>IF(OR($E44&lt;&gt;"da",P44=""),"",IFERROR(P44*1000/J44,""))</f>
        <v/>
      </c>
      <c r="T44" s="8" t="n"/>
      <c r="U44" s="8" t="n"/>
      <c r="V44" s="8" t="n"/>
      <c r="X44" s="7" t="n"/>
      <c r="Y44" s="7" t="n"/>
      <c r="Z44" s="7">
        <f>IF(OR(X44="",Y44=""),"",X44-Y44)</f>
        <v/>
      </c>
      <c r="AA44" s="7">
        <f>IF(OR($AJ44&lt;&gt;"da",X44=""),"",IFERROR(X44*1000/J44,""))</f>
        <v/>
      </c>
      <c r="AB44" s="7">
        <f>IF(OR($AJ44&lt;&gt;"da",Y44=""),"",IFERROR(Y44*1000/J44,""))</f>
        <v/>
      </c>
      <c r="AC44" s="7">
        <f>IF(OR($AJ44&lt;&gt;"da",Z44=""),"",IFERROR(Z44*1000/J44,""))</f>
        <v/>
      </c>
      <c r="AD44" s="8" t="n"/>
      <c r="AE44" s="8" t="n"/>
      <c r="AF44" s="9" t="n"/>
      <c r="AG44" s="9" t="n"/>
      <c r="AH44" s="9" t="n"/>
      <c r="AI44" s="9" t="n"/>
      <c r="AJ44" t="inlineStr">
        <is>
          <t>nu</t>
        </is>
      </c>
      <c r="AK44" t="inlineStr">
        <is>
          <t>executie_lipsa</t>
        </is>
      </c>
      <c r="AL44" t="inlineStr">
        <is>
          <t>NUTS 2024</t>
        </is>
      </c>
      <c r="AM44" t="inlineStr">
        <is>
          <t>RO4</t>
        </is>
      </c>
      <c r="AN44" t="inlineStr">
        <is>
          <t>Macroregiunea Patru</t>
        </is>
      </c>
      <c r="AO44" t="inlineStr">
        <is>
          <t>RO42</t>
        </is>
      </c>
      <c r="AP44" t="inlineStr">
        <is>
          <t>Vest</t>
        </is>
      </c>
      <c r="AQ44" t="inlineStr">
        <is>
          <t>RO421</t>
        </is>
      </c>
      <c r="AR44" t="inlineStr">
        <is>
          <t>Arad</t>
        </is>
      </c>
      <c r="AS44" s="9" t="n">
        <v>6.8</v>
      </c>
      <c r="AT44" t="inlineStr">
        <is>
          <t>final</t>
        </is>
      </c>
      <c r="AU44" s="9" t="n"/>
      <c r="AV44" s="9" t="n"/>
    </row>
    <row r="45">
      <c r="A45" t="n">
        <v>2025</v>
      </c>
      <c r="B45" t="inlineStr">
        <is>
          <t>13169</t>
        </is>
      </c>
      <c r="C45" t="inlineStr">
        <is>
          <t>Pitești</t>
        </is>
      </c>
      <c r="D45" t="inlineStr">
        <is>
          <t>Argeș</t>
        </is>
      </c>
      <c r="E45" t="inlineStr">
        <is>
          <t>da</t>
        </is>
      </c>
      <c r="G45" t="inlineStr">
        <is>
          <t>verified</t>
        </is>
      </c>
      <c r="H45" s="5" t="n">
        <v>85.40000000000001</v>
      </c>
      <c r="I45" t="inlineStr">
        <is>
          <t>nu</t>
        </is>
      </c>
      <c r="J45" s="6" t="n">
        <v>141275</v>
      </c>
      <c r="K45" t="inlineStr">
        <is>
          <t>2021-12-01</t>
        </is>
      </c>
      <c r="L45" s="7" t="n">
        <v>111.13</v>
      </c>
      <c r="M45" s="7">
        <f>IFERROR(J45/L45,"")</f>
        <v/>
      </c>
      <c r="N45" s="7" t="n">
        <v>1052393</v>
      </c>
      <c r="O45" s="7" t="n">
        <v>1052393</v>
      </c>
      <c r="P45" s="7">
        <f>IF(OR($E45&lt;&gt;"da",N45="",O45=""),"",N45-O45)</f>
        <v/>
      </c>
      <c r="Q45" s="7">
        <f>IF(OR($E45&lt;&gt;"da",N45=""),"",IFERROR(N45*1000/J45,""))</f>
        <v/>
      </c>
      <c r="R45" s="7">
        <f>IF(OR($E45&lt;&gt;"da",O45=""),"",IFERROR(O45*1000/J45,""))</f>
        <v/>
      </c>
      <c r="S45" s="7">
        <f>IF(OR($E45&lt;&gt;"da",P45=""),"",IFERROR(P45*1000/J45,""))</f>
        <v/>
      </c>
      <c r="T45" s="8" t="n">
        <v>8</v>
      </c>
      <c r="U45" s="8" t="n">
        <v>14</v>
      </c>
      <c r="V45" s="8" t="n"/>
      <c r="X45" s="7" t="n"/>
      <c r="Y45" s="7" t="n"/>
      <c r="Z45" s="7">
        <f>IF(OR(X45="",Y45=""),"",X45-Y45)</f>
        <v/>
      </c>
      <c r="AA45" s="7">
        <f>IF(OR($AJ45&lt;&gt;"da",X45=""),"",IFERROR(X45*1000/J45,""))</f>
        <v/>
      </c>
      <c r="AB45" s="7">
        <f>IF(OR($AJ45&lt;&gt;"da",Y45=""),"",IFERROR(Y45*1000/J45,""))</f>
        <v/>
      </c>
      <c r="AC45" s="7">
        <f>IF(OR($AJ45&lt;&gt;"da",Z45=""),"",IFERROR(Z45*1000/J45,""))</f>
        <v/>
      </c>
      <c r="AD45" s="8" t="n"/>
      <c r="AE45" s="8" t="n"/>
      <c r="AF45" s="9" t="n"/>
      <c r="AG45" s="9" t="n"/>
      <c r="AH45" s="9" t="n"/>
      <c r="AI45" s="9" t="n"/>
      <c r="AJ45" t="inlineStr">
        <is>
          <t>nu</t>
        </is>
      </c>
      <c r="AK45" t="inlineStr">
        <is>
          <t>executie_lipsa</t>
        </is>
      </c>
      <c r="AL45" t="inlineStr">
        <is>
          <t>NUTS 2024</t>
        </is>
      </c>
      <c r="AM45" t="inlineStr">
        <is>
          <t>RO3</t>
        </is>
      </c>
      <c r="AN45" t="inlineStr">
        <is>
          <t>Macroregiunea Trei</t>
        </is>
      </c>
      <c r="AO45" t="inlineStr">
        <is>
          <t>RO31</t>
        </is>
      </c>
      <c r="AP45" t="inlineStr">
        <is>
          <t>Sud-Muntenia</t>
        </is>
      </c>
      <c r="AQ45" t="inlineStr">
        <is>
          <t>RO311</t>
        </is>
      </c>
      <c r="AR45" t="inlineStr">
        <is>
          <t>Argeș</t>
        </is>
      </c>
      <c r="AS45" s="9" t="n">
        <v>6.8</v>
      </c>
      <c r="AT45" t="inlineStr">
        <is>
          <t>final</t>
        </is>
      </c>
      <c r="AU45" s="9" t="n"/>
      <c r="AV45" s="9" t="n"/>
    </row>
    <row r="46">
      <c r="A46" t="n">
        <v>2025</v>
      </c>
      <c r="B46" t="inlineStr">
        <is>
          <t>20297</t>
        </is>
      </c>
      <c r="C46" t="inlineStr">
        <is>
          <t>Bacău</t>
        </is>
      </c>
      <c r="D46" t="inlineStr">
        <is>
          <t>Bacău</t>
        </is>
      </c>
      <c r="E46" t="inlineStr">
        <is>
          <t>nu</t>
        </is>
      </c>
      <c r="F46" t="inlineStr">
        <is>
          <t>total_cheltuieli_lipsa</t>
        </is>
      </c>
      <c r="G46" t="inlineStr">
        <is>
          <t>verified</t>
        </is>
      </c>
      <c r="H46" s="5" t="n">
        <v>82.40000000000001</v>
      </c>
      <c r="I46" t="inlineStr">
        <is>
          <t>nu</t>
        </is>
      </c>
      <c r="J46" s="6" t="n">
        <v>136087</v>
      </c>
      <c r="K46" t="inlineStr">
        <is>
          <t>2021-12-01</t>
        </is>
      </c>
      <c r="L46" s="7" t="n">
        <v>43.1</v>
      </c>
      <c r="M46" s="7">
        <f>IFERROR(J46/L46,"")</f>
        <v/>
      </c>
      <c r="N46" s="7" t="n">
        <v>596662.6800000001</v>
      </c>
      <c r="O46" s="7" t="n"/>
      <c r="P46" s="7">
        <f>IF(OR($E46&lt;&gt;"da",N46="",O46=""),"",N46-O46)</f>
        <v/>
      </c>
      <c r="Q46" s="7">
        <f>IF(OR($E46&lt;&gt;"da",N46=""),"",IFERROR(N46*1000/J46,""))</f>
        <v/>
      </c>
      <c r="R46" s="7">
        <f>IF(OR($E46&lt;&gt;"da",O46=""),"",IFERROR(O46*1000/J46,""))</f>
        <v/>
      </c>
      <c r="S46" s="7">
        <f>IF(OR($E46&lt;&gt;"da",P46=""),"",IFERROR(P46*1000/J46,""))</f>
        <v/>
      </c>
      <c r="T46" s="8" t="n"/>
      <c r="U46" s="8" t="n"/>
      <c r="V46" s="8" t="n"/>
      <c r="X46" s="7" t="n"/>
      <c r="Y46" s="7" t="n"/>
      <c r="Z46" s="7">
        <f>IF(OR(X46="",Y46=""),"",X46-Y46)</f>
        <v/>
      </c>
      <c r="AA46" s="7">
        <f>IF(OR($AJ46&lt;&gt;"da",X46=""),"",IFERROR(X46*1000/J46,""))</f>
        <v/>
      </c>
      <c r="AB46" s="7">
        <f>IF(OR($AJ46&lt;&gt;"da",Y46=""),"",IFERROR(Y46*1000/J46,""))</f>
        <v/>
      </c>
      <c r="AC46" s="7">
        <f>IF(OR($AJ46&lt;&gt;"da",Z46=""),"",IFERROR(Z46*1000/J46,""))</f>
        <v/>
      </c>
      <c r="AD46" s="8" t="n"/>
      <c r="AE46" s="8" t="n"/>
      <c r="AF46" s="9" t="n"/>
      <c r="AG46" s="9" t="n"/>
      <c r="AH46" s="9" t="n"/>
      <c r="AI46" s="9" t="n"/>
      <c r="AJ46" t="inlineStr">
        <is>
          <t>nu</t>
        </is>
      </c>
      <c r="AK46" t="inlineStr">
        <is>
          <t>executie_lipsa</t>
        </is>
      </c>
      <c r="AL46" t="inlineStr">
        <is>
          <t>NUTS 2024</t>
        </is>
      </c>
      <c r="AM46" t="inlineStr">
        <is>
          <t>RO2</t>
        </is>
      </c>
      <c r="AN46" t="inlineStr">
        <is>
          <t>Macroregiunea Doi</t>
        </is>
      </c>
      <c r="AO46" t="inlineStr">
        <is>
          <t>RO21</t>
        </is>
      </c>
      <c r="AP46" t="inlineStr">
        <is>
          <t>Nord-Est</t>
        </is>
      </c>
      <c r="AQ46" t="inlineStr">
        <is>
          <t>RO211</t>
        </is>
      </c>
      <c r="AR46" t="inlineStr">
        <is>
          <t>Bacău</t>
        </is>
      </c>
      <c r="AS46" s="9" t="n">
        <v>6.8</v>
      </c>
      <c r="AT46" t="inlineStr">
        <is>
          <t>final</t>
        </is>
      </c>
      <c r="AU46" s="9" t="n"/>
      <c r="AV46" s="9" t="n"/>
    </row>
    <row r="47">
      <c r="A47" t="n">
        <v>2025</v>
      </c>
      <c r="B47" t="inlineStr">
        <is>
          <t>26564</t>
        </is>
      </c>
      <c r="C47" t="inlineStr">
        <is>
          <t>Oradea</t>
        </is>
      </c>
      <c r="D47" t="inlineStr">
        <is>
          <t>Bihor</t>
        </is>
      </c>
      <c r="E47" t="inlineStr">
        <is>
          <t>da</t>
        </is>
      </c>
      <c r="G47" t="inlineStr">
        <is>
          <t>verified</t>
        </is>
      </c>
      <c r="H47" s="5" t="n">
        <v>94.90000000000001</v>
      </c>
      <c r="I47" t="inlineStr">
        <is>
          <t>nu</t>
        </is>
      </c>
      <c r="J47" s="6" t="n">
        <v>183105</v>
      </c>
      <c r="K47" t="inlineStr">
        <is>
          <t>2021-12-01</t>
        </is>
      </c>
      <c r="L47" s="7" t="n">
        <v>116.1</v>
      </c>
      <c r="M47" s="7">
        <f>IFERROR(J47/L47,"")</f>
        <v/>
      </c>
      <c r="N47" s="7" t="n"/>
      <c r="O47" s="7" t="n">
        <v>2532346.92</v>
      </c>
      <c r="P47" s="7">
        <f>IF(OR($E47&lt;&gt;"da",N47="",O47=""),"",N47-O47)</f>
        <v/>
      </c>
      <c r="Q47" s="7">
        <f>IF(OR($E47&lt;&gt;"da",N47=""),"",IFERROR(N47*1000/J47,""))</f>
        <v/>
      </c>
      <c r="R47" s="7">
        <f>IF(OR($E47&lt;&gt;"da",O47=""),"",IFERROR(O47*1000/J47,""))</f>
        <v/>
      </c>
      <c r="S47" s="7">
        <f>IF(OR($E47&lt;&gt;"da",P47=""),"",IFERROR(P47*1000/J47,""))</f>
        <v/>
      </c>
      <c r="T47" s="8" t="n">
        <v>1</v>
      </c>
      <c r="U47" s="8" t="n">
        <v>14</v>
      </c>
      <c r="V47" s="8" t="n"/>
      <c r="X47" s="7" t="n"/>
      <c r="Y47" s="7" t="n"/>
      <c r="Z47" s="7">
        <f>IF(OR(X47="",Y47=""),"",X47-Y47)</f>
        <v/>
      </c>
      <c r="AA47" s="7">
        <f>IF(OR($AJ47&lt;&gt;"da",X47=""),"",IFERROR(X47*1000/J47,""))</f>
        <v/>
      </c>
      <c r="AB47" s="7">
        <f>IF(OR($AJ47&lt;&gt;"da",Y47=""),"",IFERROR(Y47*1000/J47,""))</f>
        <v/>
      </c>
      <c r="AC47" s="7">
        <f>IF(OR($AJ47&lt;&gt;"da",Z47=""),"",IFERROR(Z47*1000/J47,""))</f>
        <v/>
      </c>
      <c r="AD47" s="8" t="n"/>
      <c r="AE47" s="8" t="n"/>
      <c r="AF47" s="9" t="n"/>
      <c r="AG47" s="9" t="n"/>
      <c r="AH47" s="9" t="n"/>
      <c r="AI47" s="9" t="n">
        <v>34.68</v>
      </c>
      <c r="AJ47" t="inlineStr">
        <is>
          <t>nu</t>
        </is>
      </c>
      <c r="AK47" t="inlineStr">
        <is>
          <t>executie_lipsa</t>
        </is>
      </c>
      <c r="AL47" t="inlineStr">
        <is>
          <t>NUTS 2024</t>
        </is>
      </c>
      <c r="AM47" t="inlineStr">
        <is>
          <t>RO1</t>
        </is>
      </c>
      <c r="AN47" t="inlineStr">
        <is>
          <t>Macroregiunea Unu</t>
        </is>
      </c>
      <c r="AO47" t="inlineStr">
        <is>
          <t>RO11</t>
        </is>
      </c>
      <c r="AP47" t="inlineStr">
        <is>
          <t>Nord-Vest</t>
        </is>
      </c>
      <c r="AQ47" t="inlineStr">
        <is>
          <t>RO111</t>
        </is>
      </c>
      <c r="AR47" t="inlineStr">
        <is>
          <t>Bihor</t>
        </is>
      </c>
      <c r="AS47" s="9" t="n">
        <v>6.8</v>
      </c>
      <c r="AT47" t="inlineStr">
        <is>
          <t>final</t>
        </is>
      </c>
      <c r="AU47" s="9" t="n"/>
      <c r="AV47" s="9" t="n">
        <v>26.1</v>
      </c>
    </row>
    <row r="48">
      <c r="A48" t="n">
        <v>2025</v>
      </c>
      <c r="B48" t="inlineStr">
        <is>
          <t>32394</t>
        </is>
      </c>
      <c r="C48" t="inlineStr">
        <is>
          <t>Bistrița</t>
        </is>
      </c>
      <c r="D48" t="inlineStr">
        <is>
          <t>Bistrița-Năsăud</t>
        </is>
      </c>
      <c r="E48" t="inlineStr">
        <is>
          <t>nu</t>
        </is>
      </c>
      <c r="F48" t="inlineStr">
        <is>
          <t>total_cheltuieli_lipsa</t>
        </is>
      </c>
      <c r="G48" t="inlineStr">
        <is>
          <t>verified</t>
        </is>
      </c>
      <c r="H48" s="5" t="n">
        <v>93.8</v>
      </c>
      <c r="I48" t="inlineStr">
        <is>
          <t>nu</t>
        </is>
      </c>
      <c r="J48" s="6" t="n">
        <v>78877</v>
      </c>
      <c r="K48" t="inlineStr">
        <is>
          <t>2021-12-01</t>
        </is>
      </c>
      <c r="L48" s="7" t="n">
        <v>145.47</v>
      </c>
      <c r="M48" s="7">
        <f>IFERROR(J48/L48,"")</f>
        <v/>
      </c>
      <c r="N48" s="7" t="n"/>
      <c r="O48" s="7" t="n"/>
      <c r="P48" s="7">
        <f>IF(OR($E48&lt;&gt;"da",N48="",O48=""),"",N48-O48)</f>
        <v/>
      </c>
      <c r="Q48" s="7">
        <f>IF(OR($E48&lt;&gt;"da",N48=""),"",IFERROR(N48*1000/J48,""))</f>
        <v/>
      </c>
      <c r="R48" s="7">
        <f>IF(OR($E48&lt;&gt;"da",O48=""),"",IFERROR(O48*1000/J48,""))</f>
        <v/>
      </c>
      <c r="S48" s="7">
        <f>IF(OR($E48&lt;&gt;"da",P48=""),"",IFERROR(P48*1000/J48,""))</f>
        <v/>
      </c>
      <c r="T48" s="8" t="n"/>
      <c r="U48" s="8" t="n"/>
      <c r="V48" s="8" t="n"/>
      <c r="X48" s="7" t="n"/>
      <c r="Y48" s="7" t="n"/>
      <c r="Z48" s="7">
        <f>IF(OR(X48="",Y48=""),"",X48-Y48)</f>
        <v/>
      </c>
      <c r="AA48" s="7">
        <f>IF(OR($AJ48&lt;&gt;"da",X48=""),"",IFERROR(X48*1000/J48,""))</f>
        <v/>
      </c>
      <c r="AB48" s="7">
        <f>IF(OR($AJ48&lt;&gt;"da",Y48=""),"",IFERROR(Y48*1000/J48,""))</f>
        <v/>
      </c>
      <c r="AC48" s="7">
        <f>IF(OR($AJ48&lt;&gt;"da",Z48=""),"",IFERROR(Z48*1000/J48,""))</f>
        <v/>
      </c>
      <c r="AD48" s="8" t="n"/>
      <c r="AE48" s="8" t="n"/>
      <c r="AF48" s="9" t="n"/>
      <c r="AG48" s="9" t="n"/>
      <c r="AH48" s="9" t="n"/>
      <c r="AI48" s="9" t="n"/>
      <c r="AJ48" t="inlineStr">
        <is>
          <t>nu</t>
        </is>
      </c>
      <c r="AK48" t="inlineStr">
        <is>
          <t>executie_lipsa</t>
        </is>
      </c>
      <c r="AL48" t="inlineStr">
        <is>
          <t>NUTS 2024</t>
        </is>
      </c>
      <c r="AM48" t="inlineStr">
        <is>
          <t>RO1</t>
        </is>
      </c>
      <c r="AN48" t="inlineStr">
        <is>
          <t>Macroregiunea Unu</t>
        </is>
      </c>
      <c r="AO48" t="inlineStr">
        <is>
          <t>RO11</t>
        </is>
      </c>
      <c r="AP48" t="inlineStr">
        <is>
          <t>Nord-Vest</t>
        </is>
      </c>
      <c r="AQ48" t="inlineStr">
        <is>
          <t>RO112</t>
        </is>
      </c>
      <c r="AR48" t="inlineStr">
        <is>
          <t>Bistrița-Năsăud</t>
        </is>
      </c>
      <c r="AS48" s="9" t="n">
        <v>6.8</v>
      </c>
      <c r="AT48" t="inlineStr">
        <is>
          <t>final</t>
        </is>
      </c>
      <c r="AU48" s="9" t="n"/>
      <c r="AV48" s="9" t="n"/>
    </row>
    <row r="49">
      <c r="A49" t="n">
        <v>2025</v>
      </c>
      <c r="B49" t="inlineStr">
        <is>
          <t>35731</t>
        </is>
      </c>
      <c r="C49" t="inlineStr">
        <is>
          <t>Botoșani</t>
        </is>
      </c>
      <c r="D49" t="inlineStr">
        <is>
          <t>Botoșani</t>
        </is>
      </c>
      <c r="E49" t="inlineStr">
        <is>
          <t>nu</t>
        </is>
      </c>
      <c r="F49" t="inlineStr">
        <is>
          <t>total_cheltuieli_lipsa</t>
        </is>
      </c>
      <c r="G49" t="inlineStr">
        <is>
          <t>verified</t>
        </is>
      </c>
      <c r="H49" s="5" t="n">
        <v>100</v>
      </c>
      <c r="I49" t="inlineStr">
        <is>
          <t>nu</t>
        </is>
      </c>
      <c r="J49" s="6" t="n">
        <v>90010</v>
      </c>
      <c r="K49" t="inlineStr">
        <is>
          <t>2021-12-01</t>
        </is>
      </c>
      <c r="L49" s="7" t="n">
        <v>41.36</v>
      </c>
      <c r="M49" s="7">
        <f>IFERROR(J49/L49,"")</f>
        <v/>
      </c>
      <c r="N49" s="7" t="n"/>
      <c r="O49" s="7" t="n"/>
      <c r="P49" s="7">
        <f>IF(OR($E49&lt;&gt;"da",N49="",O49=""),"",N49-O49)</f>
        <v/>
      </c>
      <c r="Q49" s="7">
        <f>IF(OR($E49&lt;&gt;"da",N49=""),"",IFERROR(N49*1000/J49,""))</f>
        <v/>
      </c>
      <c r="R49" s="7">
        <f>IF(OR($E49&lt;&gt;"da",O49=""),"",IFERROR(O49*1000/J49,""))</f>
        <v/>
      </c>
      <c r="S49" s="7">
        <f>IF(OR($E49&lt;&gt;"da",P49=""),"",IFERROR(P49*1000/J49,""))</f>
        <v/>
      </c>
      <c r="T49" s="8" t="n"/>
      <c r="U49" s="8" t="n"/>
      <c r="V49" s="8" t="n"/>
      <c r="X49" s="7" t="n"/>
      <c r="Y49" s="7" t="n"/>
      <c r="Z49" s="7">
        <f>IF(OR(X49="",Y49=""),"",X49-Y49)</f>
        <v/>
      </c>
      <c r="AA49" s="7">
        <f>IF(OR($AJ49&lt;&gt;"da",X49=""),"",IFERROR(X49*1000/J49,""))</f>
        <v/>
      </c>
      <c r="AB49" s="7">
        <f>IF(OR($AJ49&lt;&gt;"da",Y49=""),"",IFERROR(Y49*1000/J49,""))</f>
        <v/>
      </c>
      <c r="AC49" s="7">
        <f>IF(OR($AJ49&lt;&gt;"da",Z49=""),"",IFERROR(Z49*1000/J49,""))</f>
        <v/>
      </c>
      <c r="AD49" s="8" t="n"/>
      <c r="AE49" s="8" t="n"/>
      <c r="AF49" s="9" t="n"/>
      <c r="AG49" s="9" t="n"/>
      <c r="AH49" s="9" t="n"/>
      <c r="AI49" s="9" t="n"/>
      <c r="AJ49" t="inlineStr">
        <is>
          <t>nu</t>
        </is>
      </c>
      <c r="AK49" t="inlineStr">
        <is>
          <t>executie_lipsa</t>
        </is>
      </c>
      <c r="AL49" t="inlineStr">
        <is>
          <t>NUTS 2024</t>
        </is>
      </c>
      <c r="AM49" t="inlineStr">
        <is>
          <t>RO2</t>
        </is>
      </c>
      <c r="AN49" t="inlineStr">
        <is>
          <t>Macroregiunea Doi</t>
        </is>
      </c>
      <c r="AO49" t="inlineStr">
        <is>
          <t>RO21</t>
        </is>
      </c>
      <c r="AP49" t="inlineStr">
        <is>
          <t>Nord-Est</t>
        </is>
      </c>
      <c r="AQ49" t="inlineStr">
        <is>
          <t>RO212</t>
        </is>
      </c>
      <c r="AR49" t="inlineStr">
        <is>
          <t>Botoșani</t>
        </is>
      </c>
      <c r="AS49" s="9" t="n">
        <v>6.8</v>
      </c>
      <c r="AT49" t="inlineStr">
        <is>
          <t>final</t>
        </is>
      </c>
      <c r="AU49" s="9" t="n"/>
      <c r="AV49" s="9" t="n"/>
    </row>
    <row r="50">
      <c r="A50" t="n">
        <v>2025</v>
      </c>
      <c r="B50" t="inlineStr">
        <is>
          <t>40198</t>
        </is>
      </c>
      <c r="C50" t="inlineStr">
        <is>
          <t>Brașov</t>
        </is>
      </c>
      <c r="D50" t="inlineStr">
        <is>
          <t>Brașov</t>
        </is>
      </c>
      <c r="E50" t="inlineStr">
        <is>
          <t>nu</t>
        </is>
      </c>
      <c r="F50" t="inlineStr">
        <is>
          <t>total_cheltuieli_lipsa</t>
        </is>
      </c>
      <c r="G50" t="inlineStr">
        <is>
          <t>verified</t>
        </is>
      </c>
      <c r="H50" s="5" t="n">
        <v>93.2</v>
      </c>
      <c r="I50" t="inlineStr">
        <is>
          <t>nu</t>
        </is>
      </c>
      <c r="J50" s="6" t="n">
        <v>237589</v>
      </c>
      <c r="K50" t="inlineStr">
        <is>
          <t>2021-12-01</t>
        </is>
      </c>
      <c r="L50" s="7" t="n">
        <v>267</v>
      </c>
      <c r="M50" s="7">
        <f>IFERROR(J50/L50,"")</f>
        <v/>
      </c>
      <c r="N50" s="7" t="n"/>
      <c r="O50" s="7" t="n"/>
      <c r="P50" s="7">
        <f>IF(OR($E50&lt;&gt;"da",N50="",O50=""),"",N50-O50)</f>
        <v/>
      </c>
      <c r="Q50" s="7">
        <f>IF(OR($E50&lt;&gt;"da",N50=""),"",IFERROR(N50*1000/J50,""))</f>
        <v/>
      </c>
      <c r="R50" s="7">
        <f>IF(OR($E50&lt;&gt;"da",O50=""),"",IFERROR(O50*1000/J50,""))</f>
        <v/>
      </c>
      <c r="S50" s="7">
        <f>IF(OR($E50&lt;&gt;"da",P50=""),"",IFERROR(P50*1000/J50,""))</f>
        <v/>
      </c>
      <c r="T50" s="8" t="n"/>
      <c r="U50" s="8" t="n"/>
      <c r="V50" s="8" t="n"/>
      <c r="X50" s="7" t="n"/>
      <c r="Y50" s="7" t="n"/>
      <c r="Z50" s="7">
        <f>IF(OR(X50="",Y50=""),"",X50-Y50)</f>
        <v/>
      </c>
      <c r="AA50" s="7">
        <f>IF(OR($AJ50&lt;&gt;"da",X50=""),"",IFERROR(X50*1000/J50,""))</f>
        <v/>
      </c>
      <c r="AB50" s="7">
        <f>IF(OR($AJ50&lt;&gt;"da",Y50=""),"",IFERROR(Y50*1000/J50,""))</f>
        <v/>
      </c>
      <c r="AC50" s="7">
        <f>IF(OR($AJ50&lt;&gt;"da",Z50=""),"",IFERROR(Z50*1000/J50,""))</f>
        <v/>
      </c>
      <c r="AD50" s="8" t="n"/>
      <c r="AE50" s="8" t="n"/>
      <c r="AF50" s="9" t="n"/>
      <c r="AG50" s="9" t="n"/>
      <c r="AH50" s="9" t="n"/>
      <c r="AI50" s="9" t="n"/>
      <c r="AJ50" t="inlineStr">
        <is>
          <t>nu</t>
        </is>
      </c>
      <c r="AK50" t="inlineStr">
        <is>
          <t>executie_lipsa</t>
        </is>
      </c>
      <c r="AL50" t="inlineStr">
        <is>
          <t>NUTS 2024</t>
        </is>
      </c>
      <c r="AM50" t="inlineStr">
        <is>
          <t>RO1</t>
        </is>
      </c>
      <c r="AN50" t="inlineStr">
        <is>
          <t>Macroregiunea Unu</t>
        </is>
      </c>
      <c r="AO50" t="inlineStr">
        <is>
          <t>RO12</t>
        </is>
      </c>
      <c r="AP50" t="inlineStr">
        <is>
          <t>Centru</t>
        </is>
      </c>
      <c r="AQ50" t="inlineStr">
        <is>
          <t>RO122</t>
        </is>
      </c>
      <c r="AR50" t="inlineStr">
        <is>
          <t>Brașov</t>
        </is>
      </c>
      <c r="AS50" s="9" t="n">
        <v>6.8</v>
      </c>
      <c r="AT50" t="inlineStr">
        <is>
          <t>final</t>
        </is>
      </c>
      <c r="AU50" s="9" t="n"/>
      <c r="AV50" s="9" t="n"/>
    </row>
    <row r="51">
      <c r="A51" t="n">
        <v>2025</v>
      </c>
      <c r="B51" t="inlineStr">
        <is>
          <t>42682</t>
        </is>
      </c>
      <c r="C51" t="inlineStr">
        <is>
          <t>Brăila</t>
        </is>
      </c>
      <c r="D51" t="inlineStr">
        <is>
          <t>Brăila</t>
        </is>
      </c>
      <c r="E51" t="inlineStr">
        <is>
          <t>da</t>
        </is>
      </c>
      <c r="G51" t="inlineStr">
        <is>
          <t>verified</t>
        </is>
      </c>
      <c r="H51" s="5" t="n">
        <v>80.7</v>
      </c>
      <c r="I51" t="inlineStr">
        <is>
          <t>nu</t>
        </is>
      </c>
      <c r="J51" s="6" t="n">
        <v>154686</v>
      </c>
      <c r="K51" t="inlineStr">
        <is>
          <t>2021-12-01</t>
        </is>
      </c>
      <c r="L51" s="7" t="n">
        <v>77.90000000000001</v>
      </c>
      <c r="M51" s="7">
        <f>IFERROR(J51/L51,"")</f>
        <v/>
      </c>
      <c r="N51" s="7" t="n">
        <v>831761.29</v>
      </c>
      <c r="O51" s="7" t="n">
        <v>859261.29</v>
      </c>
      <c r="P51" s="7">
        <f>IF(OR($E51&lt;&gt;"da",N51="",O51=""),"",N51-O51)</f>
        <v/>
      </c>
      <c r="Q51" s="7">
        <f>IF(OR($E51&lt;&gt;"da",N51=""),"",IFERROR(N51*1000/J51,""))</f>
        <v/>
      </c>
      <c r="R51" s="7">
        <f>IF(OR($E51&lt;&gt;"da",O51=""),"",IFERROR(O51*1000/J51,""))</f>
        <v/>
      </c>
      <c r="S51" s="7">
        <f>IF(OR($E51&lt;&gt;"da",P51=""),"",IFERROR(P51*1000/J51,""))</f>
        <v/>
      </c>
      <c r="T51" s="8" t="n">
        <v>13</v>
      </c>
      <c r="U51" s="8" t="n">
        <v>14</v>
      </c>
      <c r="V51" s="8" t="n"/>
      <c r="X51" s="7" t="n"/>
      <c r="Y51" s="7" t="n"/>
      <c r="Z51" s="7">
        <f>IF(OR(X51="",Y51=""),"",X51-Y51)</f>
        <v/>
      </c>
      <c r="AA51" s="7">
        <f>IF(OR($AJ51&lt;&gt;"da",X51=""),"",IFERROR(X51*1000/J51,""))</f>
        <v/>
      </c>
      <c r="AB51" s="7">
        <f>IF(OR($AJ51&lt;&gt;"da",Y51=""),"",IFERROR(Y51*1000/J51,""))</f>
        <v/>
      </c>
      <c r="AC51" s="7">
        <f>IF(OR($AJ51&lt;&gt;"da",Z51=""),"",IFERROR(Z51*1000/J51,""))</f>
        <v/>
      </c>
      <c r="AD51" s="8" t="n"/>
      <c r="AE51" s="8" t="n"/>
      <c r="AF51" s="9" t="n"/>
      <c r="AG51" s="9" t="n"/>
      <c r="AH51" s="9" t="n">
        <v>-2.85</v>
      </c>
      <c r="AI51" s="9" t="n">
        <v>-2.65</v>
      </c>
      <c r="AJ51" t="inlineStr">
        <is>
          <t>nu</t>
        </is>
      </c>
      <c r="AK51" t="inlineStr">
        <is>
          <t>executie_lipsa</t>
        </is>
      </c>
      <c r="AL51" t="inlineStr">
        <is>
          <t>NUTS 2024</t>
        </is>
      </c>
      <c r="AM51" t="inlineStr">
        <is>
          <t>RO2</t>
        </is>
      </c>
      <c r="AN51" t="inlineStr">
        <is>
          <t>Macroregiunea Doi</t>
        </is>
      </c>
      <c r="AO51" t="inlineStr">
        <is>
          <t>RO22</t>
        </is>
      </c>
      <c r="AP51" t="inlineStr">
        <is>
          <t>Sud-Est</t>
        </is>
      </c>
      <c r="AQ51" t="inlineStr">
        <is>
          <t>RO221</t>
        </is>
      </c>
      <c r="AR51" t="inlineStr">
        <is>
          <t>Brăila</t>
        </is>
      </c>
      <c r="AS51" s="9" t="n">
        <v>6.8</v>
      </c>
      <c r="AT51" t="inlineStr">
        <is>
          <t>final</t>
        </is>
      </c>
      <c r="AU51" s="9" t="n">
        <v>-9.039999999999999</v>
      </c>
      <c r="AV51" s="9" t="n">
        <v>-8.85</v>
      </c>
    </row>
    <row r="52">
      <c r="A52" t="n">
        <v>2025</v>
      </c>
      <c r="B52" t="inlineStr">
        <is>
          <t>44818</t>
        </is>
      </c>
      <c r="C52" t="inlineStr">
        <is>
          <t>Buzău</t>
        </is>
      </c>
      <c r="D52" t="inlineStr">
        <is>
          <t>Buzău</t>
        </is>
      </c>
      <c r="E52" t="inlineStr">
        <is>
          <t>da</t>
        </is>
      </c>
      <c r="G52" t="inlineStr">
        <is>
          <t>verified</t>
        </is>
      </c>
      <c r="H52" s="5" t="n">
        <v>59.6</v>
      </c>
      <c r="I52" t="inlineStr">
        <is>
          <t>nu</t>
        </is>
      </c>
      <c r="J52" s="6" t="n">
        <v>103481</v>
      </c>
      <c r="K52" t="inlineStr">
        <is>
          <t>2021-12-01</t>
        </is>
      </c>
      <c r="L52" s="7" t="n">
        <v>81.3</v>
      </c>
      <c r="M52" s="7">
        <f>IFERROR(J52/L52,"")</f>
        <v/>
      </c>
      <c r="N52" s="7" t="n">
        <v>890604.4399999999</v>
      </c>
      <c r="O52" s="7" t="n">
        <v>897236.48</v>
      </c>
      <c r="P52" s="7">
        <f>IF(OR($E52&lt;&gt;"da",N52="",O52=""),"",N52-O52)</f>
        <v/>
      </c>
      <c r="Q52" s="7">
        <f>IF(OR($E52&lt;&gt;"da",N52=""),"",IFERROR(N52*1000/J52,""))</f>
        <v/>
      </c>
      <c r="R52" s="7">
        <f>IF(OR($E52&lt;&gt;"da",O52=""),"",IFERROR(O52*1000/J52,""))</f>
        <v/>
      </c>
      <c r="S52" s="7">
        <f>IF(OR($E52&lt;&gt;"da",P52=""),"",IFERROR(P52*1000/J52,""))</f>
        <v/>
      </c>
      <c r="T52" s="8" t="n">
        <v>7</v>
      </c>
      <c r="U52" s="8" t="n">
        <v>14</v>
      </c>
      <c r="V52" s="8" t="n"/>
      <c r="X52" s="7" t="n"/>
      <c r="Y52" s="7" t="n"/>
      <c r="Z52" s="7">
        <f>IF(OR(X52="",Y52=""),"",X52-Y52)</f>
        <v/>
      </c>
      <c r="AA52" s="7">
        <f>IF(OR($AJ52&lt;&gt;"da",X52=""),"",IFERROR(X52*1000/J52,""))</f>
        <v/>
      </c>
      <c r="AB52" s="7">
        <f>IF(OR($AJ52&lt;&gt;"da",Y52=""),"",IFERROR(Y52*1000/J52,""))</f>
        <v/>
      </c>
      <c r="AC52" s="7">
        <f>IF(OR($AJ52&lt;&gt;"da",Z52=""),"",IFERROR(Z52*1000/J52,""))</f>
        <v/>
      </c>
      <c r="AD52" s="8" t="n"/>
      <c r="AE52" s="8" t="n"/>
      <c r="AF52" s="9" t="n"/>
      <c r="AG52" s="9" t="n"/>
      <c r="AH52" s="9" t="n"/>
      <c r="AI52" s="9" t="n">
        <v>30.08</v>
      </c>
      <c r="AJ52" t="inlineStr">
        <is>
          <t>nu</t>
        </is>
      </c>
      <c r="AK52" t="inlineStr">
        <is>
          <t>executie_lipsa</t>
        </is>
      </c>
      <c r="AL52" t="inlineStr">
        <is>
          <t>NUTS 2024</t>
        </is>
      </c>
      <c r="AM52" t="inlineStr">
        <is>
          <t>RO2</t>
        </is>
      </c>
      <c r="AN52" t="inlineStr">
        <is>
          <t>Macroregiunea Doi</t>
        </is>
      </c>
      <c r="AO52" t="inlineStr">
        <is>
          <t>RO22</t>
        </is>
      </c>
      <c r="AP52" t="inlineStr">
        <is>
          <t>Sud-Est</t>
        </is>
      </c>
      <c r="AQ52" t="inlineStr">
        <is>
          <t>RO222</t>
        </is>
      </c>
      <c r="AR52" t="inlineStr">
        <is>
          <t>Buzău</t>
        </is>
      </c>
      <c r="AS52" s="9" t="n">
        <v>6.8</v>
      </c>
      <c r="AT52" t="inlineStr">
        <is>
          <t>final</t>
        </is>
      </c>
      <c r="AU52" s="9" t="n"/>
      <c r="AV52" s="9" t="n">
        <v>21.8</v>
      </c>
    </row>
    <row r="53">
      <c r="A53" t="n">
        <v>2025</v>
      </c>
      <c r="B53" t="inlineStr">
        <is>
          <t>50790</t>
        </is>
      </c>
      <c r="C53" t="inlineStr">
        <is>
          <t>Reșița</t>
        </is>
      </c>
      <c r="D53" t="inlineStr">
        <is>
          <t>Caraș-Severin</t>
        </is>
      </c>
      <c r="E53" t="inlineStr">
        <is>
          <t>nu</t>
        </is>
      </c>
      <c r="F53" t="inlineStr">
        <is>
          <t>status_missing_pdf</t>
        </is>
      </c>
      <c r="H53" s="5" t="n"/>
      <c r="J53" s="6" t="n">
        <v>58393</v>
      </c>
      <c r="K53" t="inlineStr">
        <is>
          <t>2021-12-01</t>
        </is>
      </c>
      <c r="L53" s="7" t="n">
        <v>197.65</v>
      </c>
      <c r="M53" s="7">
        <f>IFERROR(J53/L53,"")</f>
        <v/>
      </c>
      <c r="N53" s="7" t="n"/>
      <c r="O53" s="7" t="n"/>
      <c r="P53" s="7">
        <f>IF(OR($E53&lt;&gt;"da",N53="",O53=""),"",N53-O53)</f>
        <v/>
      </c>
      <c r="Q53" s="7">
        <f>IF(OR($E53&lt;&gt;"da",N53=""),"",IFERROR(N53*1000/J53,""))</f>
        <v/>
      </c>
      <c r="R53" s="7">
        <f>IF(OR($E53&lt;&gt;"da",O53=""),"",IFERROR(O53*1000/J53,""))</f>
        <v/>
      </c>
      <c r="S53" s="7">
        <f>IF(OR($E53&lt;&gt;"da",P53=""),"",IFERROR(P53*1000/J53,""))</f>
        <v/>
      </c>
      <c r="T53" s="8" t="n"/>
      <c r="U53" s="8" t="n"/>
      <c r="V53" s="8" t="n"/>
      <c r="X53" s="7" t="n"/>
      <c r="Y53" s="7" t="n"/>
      <c r="Z53" s="7">
        <f>IF(OR(X53="",Y53=""),"",X53-Y53)</f>
        <v/>
      </c>
      <c r="AA53" s="7">
        <f>IF(OR($AJ53&lt;&gt;"da",X53=""),"",IFERROR(X53*1000/J53,""))</f>
        <v/>
      </c>
      <c r="AB53" s="7">
        <f>IF(OR($AJ53&lt;&gt;"da",Y53=""),"",IFERROR(Y53*1000/J53,""))</f>
        <v/>
      </c>
      <c r="AC53" s="7">
        <f>IF(OR($AJ53&lt;&gt;"da",Z53=""),"",IFERROR(Z53*1000/J53,""))</f>
        <v/>
      </c>
      <c r="AD53" s="8" t="n"/>
      <c r="AE53" s="8" t="n"/>
      <c r="AF53" s="9" t="n"/>
      <c r="AG53" s="9" t="n"/>
      <c r="AH53" s="9" t="n"/>
      <c r="AI53" s="9" t="n"/>
      <c r="AJ53" t="inlineStr">
        <is>
          <t>nu</t>
        </is>
      </c>
      <c r="AK53" t="inlineStr">
        <is>
          <t>executie_lipsa</t>
        </is>
      </c>
      <c r="AL53" t="inlineStr">
        <is>
          <t>NUTS 2024</t>
        </is>
      </c>
      <c r="AM53" t="inlineStr">
        <is>
          <t>RO4</t>
        </is>
      </c>
      <c r="AN53" t="inlineStr">
        <is>
          <t>Macroregiunea Patru</t>
        </is>
      </c>
      <c r="AO53" t="inlineStr">
        <is>
          <t>RO42</t>
        </is>
      </c>
      <c r="AP53" t="inlineStr">
        <is>
          <t>Vest</t>
        </is>
      </c>
      <c r="AQ53" t="inlineStr">
        <is>
          <t>RO422</t>
        </is>
      </c>
      <c r="AR53" t="inlineStr">
        <is>
          <t>Caraș-Severin</t>
        </is>
      </c>
      <c r="AS53" s="9" t="n">
        <v>6.8</v>
      </c>
      <c r="AT53" t="inlineStr">
        <is>
          <t>final</t>
        </is>
      </c>
      <c r="AU53" s="9" t="n"/>
      <c r="AV53" s="9" t="n"/>
    </row>
    <row r="54">
      <c r="A54" t="n">
        <v>2025</v>
      </c>
      <c r="B54" t="inlineStr">
        <is>
          <t>92569</t>
        </is>
      </c>
      <c r="C54" t="inlineStr">
        <is>
          <t>Călărași</t>
        </is>
      </c>
      <c r="D54" t="inlineStr">
        <is>
          <t>Călărași</t>
        </is>
      </c>
      <c r="E54" t="inlineStr">
        <is>
          <t>nu</t>
        </is>
      </c>
      <c r="F54" t="inlineStr">
        <is>
          <t>total_cheltuieli_lipsa</t>
        </is>
      </c>
      <c r="G54" t="inlineStr">
        <is>
          <t>verified</t>
        </is>
      </c>
      <c r="H54" s="5" t="n">
        <v>20.8</v>
      </c>
      <c r="I54" t="inlineStr">
        <is>
          <t>nu</t>
        </is>
      </c>
      <c r="J54" s="6" t="n">
        <v>58211</v>
      </c>
      <c r="K54" t="inlineStr">
        <is>
          <t>2021-12-01</t>
        </is>
      </c>
      <c r="L54" s="7" t="n">
        <v>133.22</v>
      </c>
      <c r="M54" s="7">
        <f>IFERROR(J54/L54,"")</f>
        <v/>
      </c>
      <c r="N54" s="7" t="n">
        <v>233521</v>
      </c>
      <c r="O54" s="7" t="n"/>
      <c r="P54" s="7">
        <f>IF(OR($E54&lt;&gt;"da",N54="",O54=""),"",N54-O54)</f>
        <v/>
      </c>
      <c r="Q54" s="7">
        <f>IF(OR($E54&lt;&gt;"da",N54=""),"",IFERROR(N54*1000/J54,""))</f>
        <v/>
      </c>
      <c r="R54" s="7">
        <f>IF(OR($E54&lt;&gt;"da",O54=""),"",IFERROR(O54*1000/J54,""))</f>
        <v/>
      </c>
      <c r="S54" s="7">
        <f>IF(OR($E54&lt;&gt;"da",P54=""),"",IFERROR(P54*1000/J54,""))</f>
        <v/>
      </c>
      <c r="T54" s="8" t="n"/>
      <c r="U54" s="8" t="n"/>
      <c r="V54" s="8" t="n"/>
      <c r="X54" s="7" t="n"/>
      <c r="Y54" s="7" t="n"/>
      <c r="Z54" s="7">
        <f>IF(OR(X54="",Y54=""),"",X54-Y54)</f>
        <v/>
      </c>
      <c r="AA54" s="7">
        <f>IF(OR($AJ54&lt;&gt;"da",X54=""),"",IFERROR(X54*1000/J54,""))</f>
        <v/>
      </c>
      <c r="AB54" s="7">
        <f>IF(OR($AJ54&lt;&gt;"da",Y54=""),"",IFERROR(Y54*1000/J54,""))</f>
        <v/>
      </c>
      <c r="AC54" s="7">
        <f>IF(OR($AJ54&lt;&gt;"da",Z54=""),"",IFERROR(Z54*1000/J54,""))</f>
        <v/>
      </c>
      <c r="AD54" s="8" t="n"/>
      <c r="AE54" s="8" t="n"/>
      <c r="AF54" s="9" t="n"/>
      <c r="AG54" s="9" t="n"/>
      <c r="AH54" s="9" t="n"/>
      <c r="AI54" s="9" t="n"/>
      <c r="AJ54" t="inlineStr">
        <is>
          <t>nu</t>
        </is>
      </c>
      <c r="AK54" t="inlineStr">
        <is>
          <t>executie_lipsa</t>
        </is>
      </c>
      <c r="AL54" t="inlineStr">
        <is>
          <t>NUTS 2024</t>
        </is>
      </c>
      <c r="AM54" t="inlineStr">
        <is>
          <t>RO3</t>
        </is>
      </c>
      <c r="AN54" t="inlineStr">
        <is>
          <t>Macroregiunea Trei</t>
        </is>
      </c>
      <c r="AO54" t="inlineStr">
        <is>
          <t>RO31</t>
        </is>
      </c>
      <c r="AP54" t="inlineStr">
        <is>
          <t>Sud-Muntenia</t>
        </is>
      </c>
      <c r="AQ54" t="inlineStr">
        <is>
          <t>RO312</t>
        </is>
      </c>
      <c r="AR54" t="inlineStr">
        <is>
          <t>Călărași</t>
        </is>
      </c>
      <c r="AS54" s="9" t="n">
        <v>6.8</v>
      </c>
      <c r="AT54" t="inlineStr">
        <is>
          <t>final</t>
        </is>
      </c>
      <c r="AU54" s="9" t="n"/>
      <c r="AV54" s="9" t="n"/>
    </row>
    <row r="55">
      <c r="A55" t="n">
        <v>2025</v>
      </c>
      <c r="B55" t="inlineStr">
        <is>
          <t>54975</t>
        </is>
      </c>
      <c r="C55" t="inlineStr">
        <is>
          <t>Cluj-Napoca</t>
        </is>
      </c>
      <c r="D55" t="inlineStr">
        <is>
          <t>Cluj</t>
        </is>
      </c>
      <c r="E55" t="inlineStr">
        <is>
          <t>nu</t>
        </is>
      </c>
      <c r="F55" t="inlineStr">
        <is>
          <t>total_cheltuieli_lipsa</t>
        </is>
      </c>
      <c r="G55" t="inlineStr">
        <is>
          <t>verified</t>
        </is>
      </c>
      <c r="H55" s="5" t="n">
        <v>90.90000000000001</v>
      </c>
      <c r="I55" t="inlineStr">
        <is>
          <t>nu</t>
        </is>
      </c>
      <c r="J55" s="6" t="n">
        <v>286598</v>
      </c>
      <c r="K55" t="inlineStr">
        <is>
          <t>2021-12-01</t>
        </is>
      </c>
      <c r="L55" s="7" t="n">
        <v>179.5</v>
      </c>
      <c r="M55" s="7">
        <f>IFERROR(J55/L55,"")</f>
        <v/>
      </c>
      <c r="N55" s="7" t="n">
        <v>3919073.291</v>
      </c>
      <c r="O55" s="7" t="n"/>
      <c r="P55" s="7">
        <f>IF(OR($E55&lt;&gt;"da",N55="",O55=""),"",N55-O55)</f>
        <v/>
      </c>
      <c r="Q55" s="7">
        <f>IF(OR($E55&lt;&gt;"da",N55=""),"",IFERROR(N55*1000/J55,""))</f>
        <v/>
      </c>
      <c r="R55" s="7">
        <f>IF(OR($E55&lt;&gt;"da",O55=""),"",IFERROR(O55*1000/J55,""))</f>
        <v/>
      </c>
      <c r="S55" s="7">
        <f>IF(OR($E55&lt;&gt;"da",P55=""),"",IFERROR(P55*1000/J55,""))</f>
        <v/>
      </c>
      <c r="T55" s="8" t="n"/>
      <c r="U55" s="8" t="n"/>
      <c r="V55" s="8" t="n"/>
      <c r="X55" s="7" t="n"/>
      <c r="Y55" s="7" t="n"/>
      <c r="Z55" s="7">
        <f>IF(OR(X55="",Y55=""),"",X55-Y55)</f>
        <v/>
      </c>
      <c r="AA55" s="7">
        <f>IF(OR($AJ55&lt;&gt;"da",X55=""),"",IFERROR(X55*1000/J55,""))</f>
        <v/>
      </c>
      <c r="AB55" s="7">
        <f>IF(OR($AJ55&lt;&gt;"da",Y55=""),"",IFERROR(Y55*1000/J55,""))</f>
        <v/>
      </c>
      <c r="AC55" s="7">
        <f>IF(OR($AJ55&lt;&gt;"da",Z55=""),"",IFERROR(Z55*1000/J55,""))</f>
        <v/>
      </c>
      <c r="AD55" s="8" t="n"/>
      <c r="AE55" s="8" t="n"/>
      <c r="AF55" s="9" t="n"/>
      <c r="AG55" s="9" t="n"/>
      <c r="AH55" s="9" t="n"/>
      <c r="AI55" s="9" t="n"/>
      <c r="AJ55" t="inlineStr">
        <is>
          <t>nu</t>
        </is>
      </c>
      <c r="AK55" t="inlineStr">
        <is>
          <t>executie_lipsa</t>
        </is>
      </c>
      <c r="AL55" t="inlineStr">
        <is>
          <t>NUTS 2024</t>
        </is>
      </c>
      <c r="AM55" t="inlineStr">
        <is>
          <t>RO1</t>
        </is>
      </c>
      <c r="AN55" t="inlineStr">
        <is>
          <t>Macroregiunea Unu</t>
        </is>
      </c>
      <c r="AO55" t="inlineStr">
        <is>
          <t>RO11</t>
        </is>
      </c>
      <c r="AP55" t="inlineStr">
        <is>
          <t>Nord-Vest</t>
        </is>
      </c>
      <c r="AQ55" t="inlineStr">
        <is>
          <t>RO113</t>
        </is>
      </c>
      <c r="AR55" t="inlineStr">
        <is>
          <t>Cluj</t>
        </is>
      </c>
      <c r="AS55" s="9" t="n">
        <v>6.8</v>
      </c>
      <c r="AT55" t="inlineStr">
        <is>
          <t>final</t>
        </is>
      </c>
      <c r="AU55" s="9" t="n"/>
      <c r="AV55" s="9" t="n"/>
    </row>
    <row r="56">
      <c r="A56" t="n">
        <v>2025</v>
      </c>
      <c r="B56" t="inlineStr">
        <is>
          <t>60419</t>
        </is>
      </c>
      <c r="C56" t="inlineStr">
        <is>
          <t>Constanța</t>
        </is>
      </c>
      <c r="D56" t="inlineStr">
        <is>
          <t>Constanța</t>
        </is>
      </c>
      <c r="E56" t="inlineStr">
        <is>
          <t>da</t>
        </is>
      </c>
      <c r="G56" t="inlineStr">
        <is>
          <t>verified</t>
        </is>
      </c>
      <c r="H56" s="5" t="n">
        <v>74.5</v>
      </c>
      <c r="I56" t="inlineStr">
        <is>
          <t>nu</t>
        </is>
      </c>
      <c r="J56" s="6" t="n">
        <v>263688</v>
      </c>
      <c r="K56" t="inlineStr">
        <is>
          <t>2021-12-01</t>
        </is>
      </c>
      <c r="L56" s="7" t="n">
        <v>124.89</v>
      </c>
      <c r="M56" s="7">
        <f>IFERROR(J56/L56,"")</f>
        <v/>
      </c>
      <c r="N56" s="7" t="n"/>
      <c r="O56" s="7" t="n">
        <v>2311355</v>
      </c>
      <c r="P56" s="7">
        <f>IF(OR($E56&lt;&gt;"da",N56="",O56=""),"",N56-O56)</f>
        <v/>
      </c>
      <c r="Q56" s="7">
        <f>IF(OR($E56&lt;&gt;"da",N56=""),"",IFERROR(N56*1000/J56,""))</f>
        <v/>
      </c>
      <c r="R56" s="7">
        <f>IF(OR($E56&lt;&gt;"da",O56=""),"",IFERROR(O56*1000/J56,""))</f>
        <v/>
      </c>
      <c r="S56" s="7">
        <f>IF(OR($E56&lt;&gt;"da",P56=""),"",IFERROR(P56*1000/J56,""))</f>
        <v/>
      </c>
      <c r="T56" s="8" t="n">
        <v>6</v>
      </c>
      <c r="U56" s="8" t="n">
        <v>14</v>
      </c>
      <c r="V56" s="8" t="n"/>
      <c r="X56" s="7" t="n"/>
      <c r="Y56" s="7" t="n"/>
      <c r="Z56" s="7">
        <f>IF(OR(X56="",Y56=""),"",X56-Y56)</f>
        <v/>
      </c>
      <c r="AA56" s="7">
        <f>IF(OR($AJ56&lt;&gt;"da",X56=""),"",IFERROR(X56*1000/J56,""))</f>
        <v/>
      </c>
      <c r="AB56" s="7">
        <f>IF(OR($AJ56&lt;&gt;"da",Y56=""),"",IFERROR(Y56*1000/J56,""))</f>
        <v/>
      </c>
      <c r="AC56" s="7">
        <f>IF(OR($AJ56&lt;&gt;"da",Z56=""),"",IFERROR(Z56*1000/J56,""))</f>
        <v/>
      </c>
      <c r="AD56" s="8" t="n"/>
      <c r="AE56" s="8" t="n"/>
      <c r="AF56" s="9" t="n"/>
      <c r="AG56" s="9" t="n"/>
      <c r="AH56" s="9" t="n"/>
      <c r="AI56" s="9" t="n">
        <v>0.82</v>
      </c>
      <c r="AJ56" t="inlineStr">
        <is>
          <t>nu</t>
        </is>
      </c>
      <c r="AK56" t="inlineStr">
        <is>
          <t>executie_lipsa</t>
        </is>
      </c>
      <c r="AL56" t="inlineStr">
        <is>
          <t>NUTS 2024</t>
        </is>
      </c>
      <c r="AM56" t="inlineStr">
        <is>
          <t>RO2</t>
        </is>
      </c>
      <c r="AN56" t="inlineStr">
        <is>
          <t>Macroregiunea Doi</t>
        </is>
      </c>
      <c r="AO56" t="inlineStr">
        <is>
          <t>RO22</t>
        </is>
      </c>
      <c r="AP56" t="inlineStr">
        <is>
          <t>Sud-Est</t>
        </is>
      </c>
      <c r="AQ56" t="inlineStr">
        <is>
          <t>RO223</t>
        </is>
      </c>
      <c r="AR56" t="inlineStr">
        <is>
          <t>Constanța</t>
        </is>
      </c>
      <c r="AS56" s="9" t="n">
        <v>6.8</v>
      </c>
      <c r="AT56" t="inlineStr">
        <is>
          <t>final</t>
        </is>
      </c>
      <c r="AU56" s="9" t="n"/>
      <c r="AV56" s="9" t="n">
        <v>-5.6</v>
      </c>
    </row>
    <row r="57">
      <c r="A57" t="n">
        <v>2025</v>
      </c>
      <c r="B57" t="inlineStr">
        <is>
          <t>63394</t>
        </is>
      </c>
      <c r="C57" t="inlineStr">
        <is>
          <t>Sfântu Gheorghe</t>
        </is>
      </c>
      <c r="D57" t="inlineStr">
        <is>
          <t>Covasna</t>
        </is>
      </c>
      <c r="E57" t="inlineStr">
        <is>
          <t>nu</t>
        </is>
      </c>
      <c r="F57" t="inlineStr">
        <is>
          <t>total_cheltuieli_lipsa</t>
        </is>
      </c>
      <c r="G57" t="inlineStr">
        <is>
          <t>verified</t>
        </is>
      </c>
      <c r="H57" s="5" t="n">
        <v>92.7</v>
      </c>
      <c r="I57" t="inlineStr">
        <is>
          <t>nu</t>
        </is>
      </c>
      <c r="J57" s="6" t="n">
        <v>50080</v>
      </c>
      <c r="K57" t="inlineStr">
        <is>
          <t>2021-12-01</t>
        </is>
      </c>
      <c r="L57" s="7" t="n">
        <v>72.92</v>
      </c>
      <c r="M57" s="7">
        <f>IFERROR(J57/L57,"")</f>
        <v/>
      </c>
      <c r="N57" s="7" t="n"/>
      <c r="O57" s="7" t="n"/>
      <c r="P57" s="7">
        <f>IF(OR($E57&lt;&gt;"da",N57="",O57=""),"",N57-O57)</f>
        <v/>
      </c>
      <c r="Q57" s="7">
        <f>IF(OR($E57&lt;&gt;"da",N57=""),"",IFERROR(N57*1000/J57,""))</f>
        <v/>
      </c>
      <c r="R57" s="7">
        <f>IF(OR($E57&lt;&gt;"da",O57=""),"",IFERROR(O57*1000/J57,""))</f>
        <v/>
      </c>
      <c r="S57" s="7">
        <f>IF(OR($E57&lt;&gt;"da",P57=""),"",IFERROR(P57*1000/J57,""))</f>
        <v/>
      </c>
      <c r="T57" s="8" t="n"/>
      <c r="U57" s="8" t="n"/>
      <c r="V57" s="8" t="n"/>
      <c r="X57" s="7" t="n"/>
      <c r="Y57" s="7" t="n"/>
      <c r="Z57" s="7">
        <f>IF(OR(X57="",Y57=""),"",X57-Y57)</f>
        <v/>
      </c>
      <c r="AA57" s="7">
        <f>IF(OR($AJ57&lt;&gt;"da",X57=""),"",IFERROR(X57*1000/J57,""))</f>
        <v/>
      </c>
      <c r="AB57" s="7">
        <f>IF(OR($AJ57&lt;&gt;"da",Y57=""),"",IFERROR(Y57*1000/J57,""))</f>
        <v/>
      </c>
      <c r="AC57" s="7">
        <f>IF(OR($AJ57&lt;&gt;"da",Z57=""),"",IFERROR(Z57*1000/J57,""))</f>
        <v/>
      </c>
      <c r="AD57" s="8" t="n"/>
      <c r="AE57" s="8" t="n"/>
      <c r="AF57" s="9" t="n"/>
      <c r="AG57" s="9" t="n"/>
      <c r="AH57" s="9" t="n"/>
      <c r="AI57" s="9" t="n"/>
      <c r="AJ57" t="inlineStr">
        <is>
          <t>nu</t>
        </is>
      </c>
      <c r="AK57" t="inlineStr">
        <is>
          <t>executie_lipsa</t>
        </is>
      </c>
      <c r="AL57" t="inlineStr">
        <is>
          <t>NUTS 2024</t>
        </is>
      </c>
      <c r="AM57" t="inlineStr">
        <is>
          <t>RO1</t>
        </is>
      </c>
      <c r="AN57" t="inlineStr">
        <is>
          <t>Macroregiunea Unu</t>
        </is>
      </c>
      <c r="AO57" t="inlineStr">
        <is>
          <t>RO12</t>
        </is>
      </c>
      <c r="AP57" t="inlineStr">
        <is>
          <t>Centru</t>
        </is>
      </c>
      <c r="AQ57" t="inlineStr">
        <is>
          <t>RO123</t>
        </is>
      </c>
      <c r="AR57" t="inlineStr">
        <is>
          <t>Covasna</t>
        </is>
      </c>
      <c r="AS57" s="9" t="n">
        <v>6.8</v>
      </c>
      <c r="AT57" t="inlineStr">
        <is>
          <t>final</t>
        </is>
      </c>
      <c r="AU57" s="9" t="n"/>
      <c r="AV57" s="9" t="n"/>
    </row>
    <row r="58">
      <c r="A58" t="n">
        <v>2025</v>
      </c>
      <c r="B58" t="inlineStr">
        <is>
          <t>65342</t>
        </is>
      </c>
      <c r="C58" t="inlineStr">
        <is>
          <t>Târgoviște</t>
        </is>
      </c>
      <c r="D58" t="inlineStr">
        <is>
          <t>Dâmbovița</t>
        </is>
      </c>
      <c r="E58" t="inlineStr">
        <is>
          <t>da</t>
        </is>
      </c>
      <c r="G58" t="inlineStr">
        <is>
          <t>verified</t>
        </is>
      </c>
      <c r="H58" s="5" t="n">
        <v>100</v>
      </c>
      <c r="I58" t="inlineStr">
        <is>
          <t>nu</t>
        </is>
      </c>
      <c r="J58" s="6" t="n">
        <v>66965</v>
      </c>
      <c r="K58" t="inlineStr">
        <is>
          <t>2021-12-01</t>
        </is>
      </c>
      <c r="L58" s="7" t="n">
        <v>50.4</v>
      </c>
      <c r="M58" s="7">
        <f>IFERROR(J58/L58,"")</f>
        <v/>
      </c>
      <c r="N58" s="7" t="n">
        <v>608092</v>
      </c>
      <c r="O58" s="7" t="n">
        <v>624604</v>
      </c>
      <c r="P58" s="7">
        <f>IF(OR($E58&lt;&gt;"da",N58="",O58=""),"",N58-O58)</f>
        <v/>
      </c>
      <c r="Q58" s="7">
        <f>IF(OR($E58&lt;&gt;"da",N58=""),"",IFERROR(N58*1000/J58,""))</f>
        <v/>
      </c>
      <c r="R58" s="7">
        <f>IF(OR($E58&lt;&gt;"da",O58=""),"",IFERROR(O58*1000/J58,""))</f>
        <v/>
      </c>
      <c r="S58" s="7">
        <f>IF(OR($E58&lt;&gt;"da",P58=""),"",IFERROR(P58*1000/J58,""))</f>
        <v/>
      </c>
      <c r="T58" s="8" t="n">
        <v>3</v>
      </c>
      <c r="U58" s="8" t="n">
        <v>14</v>
      </c>
      <c r="V58" s="8" t="n"/>
      <c r="X58" s="7" t="n"/>
      <c r="Y58" s="7" t="n"/>
      <c r="Z58" s="7">
        <f>IF(OR(X58="",Y58=""),"",X58-Y58)</f>
        <v/>
      </c>
      <c r="AA58" s="7">
        <f>IF(OR($AJ58&lt;&gt;"da",X58=""),"",IFERROR(X58*1000/J58,""))</f>
        <v/>
      </c>
      <c r="AB58" s="7">
        <f>IF(OR($AJ58&lt;&gt;"da",Y58=""),"",IFERROR(Y58*1000/J58,""))</f>
        <v/>
      </c>
      <c r="AC58" s="7">
        <f>IF(OR($AJ58&lt;&gt;"da",Z58=""),"",IFERROR(Z58*1000/J58,""))</f>
        <v/>
      </c>
      <c r="AD58" s="8" t="n"/>
      <c r="AE58" s="8" t="n"/>
      <c r="AF58" s="9" t="n"/>
      <c r="AG58" s="9" t="n"/>
      <c r="AH58" s="9" t="n">
        <v>1.74</v>
      </c>
      <c r="AI58" s="9" t="n">
        <v>3.49</v>
      </c>
      <c r="AJ58" t="inlineStr">
        <is>
          <t>nu</t>
        </is>
      </c>
      <c r="AK58" t="inlineStr">
        <is>
          <t>executie_lipsa</t>
        </is>
      </c>
      <c r="AL58" t="inlineStr">
        <is>
          <t>NUTS 2024</t>
        </is>
      </c>
      <c r="AM58" t="inlineStr">
        <is>
          <t>RO3</t>
        </is>
      </c>
      <c r="AN58" t="inlineStr">
        <is>
          <t>Macroregiunea Trei</t>
        </is>
      </c>
      <c r="AO58" t="inlineStr">
        <is>
          <t>RO31</t>
        </is>
      </c>
      <c r="AP58" t="inlineStr">
        <is>
          <t>Sud-Muntenia</t>
        </is>
      </c>
      <c r="AQ58" t="inlineStr">
        <is>
          <t>RO313</t>
        </is>
      </c>
      <c r="AR58" t="inlineStr">
        <is>
          <t>Dâmbovița</t>
        </is>
      </c>
      <c r="AS58" s="9" t="n">
        <v>6.8</v>
      </c>
      <c r="AT58" t="inlineStr">
        <is>
          <t>final</t>
        </is>
      </c>
      <c r="AU58" s="9" t="n">
        <v>-4.74</v>
      </c>
      <c r="AV58" s="9" t="n">
        <v>-3.1</v>
      </c>
    </row>
    <row r="59">
      <c r="A59" t="n">
        <v>2025</v>
      </c>
      <c r="B59" t="inlineStr">
        <is>
          <t>69900</t>
        </is>
      </c>
      <c r="C59" t="inlineStr">
        <is>
          <t>Craiova</t>
        </is>
      </c>
      <c r="D59" t="inlineStr">
        <is>
          <t>Dolj</t>
        </is>
      </c>
      <c r="E59" t="inlineStr">
        <is>
          <t>da</t>
        </is>
      </c>
      <c r="G59" t="inlineStr">
        <is>
          <t>verified</t>
        </is>
      </c>
      <c r="H59" s="5" t="n">
        <v>99.90000000000001</v>
      </c>
      <c r="I59" t="inlineStr">
        <is>
          <t>nu</t>
        </is>
      </c>
      <c r="J59" s="6" t="n">
        <v>234140</v>
      </c>
      <c r="K59" t="inlineStr">
        <is>
          <t>2021-12-01</t>
        </is>
      </c>
      <c r="L59" s="7" t="n">
        <v>81.41</v>
      </c>
      <c r="M59" s="7">
        <f>IFERROR(J59/L59,"")</f>
        <v/>
      </c>
      <c r="N59" s="7" t="n">
        <v>1453290</v>
      </c>
      <c r="O59" s="7" t="n">
        <v>1460426</v>
      </c>
      <c r="P59" s="7">
        <f>IF(OR($E59&lt;&gt;"da",N59="",O59=""),"",N59-O59)</f>
        <v/>
      </c>
      <c r="Q59" s="7">
        <f>IF(OR($E59&lt;&gt;"da",N59=""),"",IFERROR(N59*1000/J59,""))</f>
        <v/>
      </c>
      <c r="R59" s="7">
        <f>IF(OR($E59&lt;&gt;"da",O59=""),"",IFERROR(O59*1000/J59,""))</f>
        <v/>
      </c>
      <c r="S59" s="7">
        <f>IF(OR($E59&lt;&gt;"da",P59=""),"",IFERROR(P59*1000/J59,""))</f>
        <v/>
      </c>
      <c r="T59" s="8" t="n">
        <v>12</v>
      </c>
      <c r="U59" s="8" t="n">
        <v>14</v>
      </c>
      <c r="V59" s="8" t="n"/>
      <c r="X59" s="7" t="n"/>
      <c r="Y59" s="7" t="n"/>
      <c r="Z59" s="7">
        <f>IF(OR(X59="",Y59=""),"",X59-Y59)</f>
        <v/>
      </c>
      <c r="AA59" s="7">
        <f>IF(OR($AJ59&lt;&gt;"da",X59=""),"",IFERROR(X59*1000/J59,""))</f>
        <v/>
      </c>
      <c r="AB59" s="7">
        <f>IF(OR($AJ59&lt;&gt;"da",Y59=""),"",IFERROR(Y59*1000/J59,""))</f>
        <v/>
      </c>
      <c r="AC59" s="7">
        <f>IF(OR($AJ59&lt;&gt;"da",Z59=""),"",IFERROR(Z59*1000/J59,""))</f>
        <v/>
      </c>
      <c r="AD59" s="8" t="n"/>
      <c r="AE59" s="8" t="n"/>
      <c r="AF59" s="9" t="n"/>
      <c r="AG59" s="9" t="n"/>
      <c r="AH59" s="9" t="n">
        <v>18.84</v>
      </c>
      <c r="AI59" s="9" t="n">
        <v>18.37</v>
      </c>
      <c r="AJ59" t="inlineStr">
        <is>
          <t>nu</t>
        </is>
      </c>
      <c r="AK59" t="inlineStr">
        <is>
          <t>executie_lipsa</t>
        </is>
      </c>
      <c r="AL59" t="inlineStr">
        <is>
          <t>NUTS 2024</t>
        </is>
      </c>
      <c r="AM59" t="inlineStr">
        <is>
          <t>RO4</t>
        </is>
      </c>
      <c r="AN59" t="inlineStr">
        <is>
          <t>Macroregiunea Patru</t>
        </is>
      </c>
      <c r="AO59" t="inlineStr">
        <is>
          <t>RO41</t>
        </is>
      </c>
      <c r="AP59" t="inlineStr">
        <is>
          <t>Sud-Vest Oltenia</t>
        </is>
      </c>
      <c r="AQ59" t="inlineStr">
        <is>
          <t>RO411</t>
        </is>
      </c>
      <c r="AR59" t="inlineStr">
        <is>
          <t>Dolj</t>
        </is>
      </c>
      <c r="AS59" s="9" t="n">
        <v>6.8</v>
      </c>
      <c r="AT59" t="inlineStr">
        <is>
          <t>final</t>
        </is>
      </c>
      <c r="AU59" s="9" t="n">
        <v>11.27</v>
      </c>
      <c r="AV59" s="9" t="n">
        <v>10.83</v>
      </c>
    </row>
    <row r="60">
      <c r="A60" t="n">
        <v>2025</v>
      </c>
      <c r="B60" t="inlineStr">
        <is>
          <t>75098</t>
        </is>
      </c>
      <c r="C60" t="inlineStr">
        <is>
          <t>Galați</t>
        </is>
      </c>
      <c r="D60" t="inlineStr">
        <is>
          <t>Galați</t>
        </is>
      </c>
      <c r="E60" t="inlineStr">
        <is>
          <t>nu</t>
        </is>
      </c>
      <c r="F60" t="inlineStr">
        <is>
          <t>status_missing_pdf</t>
        </is>
      </c>
      <c r="H60" s="5" t="n"/>
      <c r="J60" s="6" t="n">
        <v>217851</v>
      </c>
      <c r="K60" t="inlineStr">
        <is>
          <t>2021-12-01</t>
        </is>
      </c>
      <c r="L60" s="7" t="n">
        <v>246.4</v>
      </c>
      <c r="M60" s="7">
        <f>IFERROR(J60/L60,"")</f>
        <v/>
      </c>
      <c r="N60" s="7" t="n"/>
      <c r="O60" s="7" t="n"/>
      <c r="P60" s="7">
        <f>IF(OR($E60&lt;&gt;"da",N60="",O60=""),"",N60-O60)</f>
        <v/>
      </c>
      <c r="Q60" s="7">
        <f>IF(OR($E60&lt;&gt;"da",N60=""),"",IFERROR(N60*1000/J60,""))</f>
        <v/>
      </c>
      <c r="R60" s="7">
        <f>IF(OR($E60&lt;&gt;"da",O60=""),"",IFERROR(O60*1000/J60,""))</f>
        <v/>
      </c>
      <c r="S60" s="7">
        <f>IF(OR($E60&lt;&gt;"da",P60=""),"",IFERROR(P60*1000/J60,""))</f>
        <v/>
      </c>
      <c r="T60" s="8" t="n"/>
      <c r="U60" s="8" t="n"/>
      <c r="V60" s="8" t="n"/>
      <c r="X60" s="7" t="n"/>
      <c r="Y60" s="7" t="n"/>
      <c r="Z60" s="7">
        <f>IF(OR(X60="",Y60=""),"",X60-Y60)</f>
        <v/>
      </c>
      <c r="AA60" s="7">
        <f>IF(OR($AJ60&lt;&gt;"da",X60=""),"",IFERROR(X60*1000/J60,""))</f>
        <v/>
      </c>
      <c r="AB60" s="7">
        <f>IF(OR($AJ60&lt;&gt;"da",Y60=""),"",IFERROR(Y60*1000/J60,""))</f>
        <v/>
      </c>
      <c r="AC60" s="7">
        <f>IF(OR($AJ60&lt;&gt;"da",Z60=""),"",IFERROR(Z60*1000/J60,""))</f>
        <v/>
      </c>
      <c r="AD60" s="8" t="n"/>
      <c r="AE60" s="8" t="n"/>
      <c r="AF60" s="9" t="n"/>
      <c r="AG60" s="9" t="n"/>
      <c r="AH60" s="9" t="n"/>
      <c r="AI60" s="9" t="n"/>
      <c r="AJ60" t="inlineStr">
        <is>
          <t>nu</t>
        </is>
      </c>
      <c r="AK60" t="inlineStr">
        <is>
          <t>executie_lipsa</t>
        </is>
      </c>
      <c r="AL60" t="inlineStr">
        <is>
          <t>NUTS 2024</t>
        </is>
      </c>
      <c r="AM60" t="inlineStr">
        <is>
          <t>RO2</t>
        </is>
      </c>
      <c r="AN60" t="inlineStr">
        <is>
          <t>Macroregiunea Doi</t>
        </is>
      </c>
      <c r="AO60" t="inlineStr">
        <is>
          <t>RO22</t>
        </is>
      </c>
      <c r="AP60" t="inlineStr">
        <is>
          <t>Sud-Est</t>
        </is>
      </c>
      <c r="AQ60" t="inlineStr">
        <is>
          <t>RO224</t>
        </is>
      </c>
      <c r="AR60" t="inlineStr">
        <is>
          <t>Galați</t>
        </is>
      </c>
      <c r="AS60" s="9" t="n">
        <v>6.8</v>
      </c>
      <c r="AT60" t="inlineStr">
        <is>
          <t>final</t>
        </is>
      </c>
      <c r="AU60" s="9" t="n"/>
      <c r="AV60" s="9" t="n"/>
    </row>
    <row r="61">
      <c r="A61" t="n">
        <v>2025</v>
      </c>
      <c r="B61" t="inlineStr">
        <is>
          <t>100521</t>
        </is>
      </c>
      <c r="C61" t="inlineStr">
        <is>
          <t>Giurgiu</t>
        </is>
      </c>
      <c r="D61" t="inlineStr">
        <is>
          <t>Giurgiu</t>
        </is>
      </c>
      <c r="E61" t="inlineStr">
        <is>
          <t>nu</t>
        </is>
      </c>
      <c r="F61" t="inlineStr">
        <is>
          <t>total_cheltuieli_lipsa</t>
        </is>
      </c>
      <c r="G61" t="inlineStr">
        <is>
          <t>verified</t>
        </is>
      </c>
      <c r="H61" s="5" t="n">
        <v>60.5</v>
      </c>
      <c r="I61" t="inlineStr">
        <is>
          <t>nu</t>
        </is>
      </c>
      <c r="J61" s="6" t="n">
        <v>54551</v>
      </c>
      <c r="K61" t="inlineStr">
        <is>
          <t>2021-12-01</t>
        </is>
      </c>
      <c r="L61" s="7" t="n">
        <v>46.94</v>
      </c>
      <c r="M61" s="7">
        <f>IFERROR(J61/L61,"")</f>
        <v/>
      </c>
      <c r="N61" s="7" t="n">
        <v>246224.06</v>
      </c>
      <c r="O61" s="7" t="n"/>
      <c r="P61" s="7">
        <f>IF(OR($E61&lt;&gt;"da",N61="",O61=""),"",N61-O61)</f>
        <v/>
      </c>
      <c r="Q61" s="7">
        <f>IF(OR($E61&lt;&gt;"da",N61=""),"",IFERROR(N61*1000/J61,""))</f>
        <v/>
      </c>
      <c r="R61" s="7">
        <f>IF(OR($E61&lt;&gt;"da",O61=""),"",IFERROR(O61*1000/J61,""))</f>
        <v/>
      </c>
      <c r="S61" s="7">
        <f>IF(OR($E61&lt;&gt;"da",P61=""),"",IFERROR(P61*1000/J61,""))</f>
        <v/>
      </c>
      <c r="T61" s="8" t="n"/>
      <c r="U61" s="8" t="n"/>
      <c r="V61" s="8" t="n"/>
      <c r="X61" s="7" t="n"/>
      <c r="Y61" s="7" t="n"/>
      <c r="Z61" s="7">
        <f>IF(OR(X61="",Y61=""),"",X61-Y61)</f>
        <v/>
      </c>
      <c r="AA61" s="7">
        <f>IF(OR($AJ61&lt;&gt;"da",X61=""),"",IFERROR(X61*1000/J61,""))</f>
        <v/>
      </c>
      <c r="AB61" s="7">
        <f>IF(OR($AJ61&lt;&gt;"da",Y61=""),"",IFERROR(Y61*1000/J61,""))</f>
        <v/>
      </c>
      <c r="AC61" s="7">
        <f>IF(OR($AJ61&lt;&gt;"da",Z61=""),"",IFERROR(Z61*1000/J61,""))</f>
        <v/>
      </c>
      <c r="AD61" s="8" t="n"/>
      <c r="AE61" s="8" t="n"/>
      <c r="AF61" s="9" t="n"/>
      <c r="AG61" s="9" t="n"/>
      <c r="AH61" s="9" t="n"/>
      <c r="AI61" s="9" t="n"/>
      <c r="AJ61" t="inlineStr">
        <is>
          <t>nu</t>
        </is>
      </c>
      <c r="AK61" t="inlineStr">
        <is>
          <t>executie_lipsa</t>
        </is>
      </c>
      <c r="AL61" t="inlineStr">
        <is>
          <t>NUTS 2024</t>
        </is>
      </c>
      <c r="AM61" t="inlineStr">
        <is>
          <t>RO3</t>
        </is>
      </c>
      <c r="AN61" t="inlineStr">
        <is>
          <t>Macroregiunea Trei</t>
        </is>
      </c>
      <c r="AO61" t="inlineStr">
        <is>
          <t>RO31</t>
        </is>
      </c>
      <c r="AP61" t="inlineStr">
        <is>
          <t>Sud-Muntenia</t>
        </is>
      </c>
      <c r="AQ61" t="inlineStr">
        <is>
          <t>RO314</t>
        </is>
      </c>
      <c r="AR61" t="inlineStr">
        <is>
          <t>Giurgiu</t>
        </is>
      </c>
      <c r="AS61" s="9" t="n">
        <v>6.8</v>
      </c>
      <c r="AT61" t="inlineStr">
        <is>
          <t>final</t>
        </is>
      </c>
      <c r="AU61" s="9" t="n"/>
      <c r="AV61" s="9" t="n"/>
    </row>
    <row r="62">
      <c r="A62" t="n">
        <v>2025</v>
      </c>
      <c r="B62" t="inlineStr">
        <is>
          <t>77812</t>
        </is>
      </c>
      <c r="C62" t="inlineStr">
        <is>
          <t>Târgu Jiu</t>
        </is>
      </c>
      <c r="D62" t="inlineStr">
        <is>
          <t>Gorj</t>
        </is>
      </c>
      <c r="E62" t="inlineStr">
        <is>
          <t>da</t>
        </is>
      </c>
      <c r="G62" t="inlineStr">
        <is>
          <t>verified</t>
        </is>
      </c>
      <c r="H62" s="5" t="n">
        <v>74.59999999999999</v>
      </c>
      <c r="I62" t="inlineStr">
        <is>
          <t>nu</t>
        </is>
      </c>
      <c r="J62" s="6" t="n">
        <v>73545</v>
      </c>
      <c r="K62" t="inlineStr">
        <is>
          <t>2021-12-01</t>
        </is>
      </c>
      <c r="L62" s="7" t="n">
        <v>161</v>
      </c>
      <c r="M62" s="7">
        <f>IFERROR(J62/L62,"")</f>
        <v/>
      </c>
      <c r="N62" s="7" t="n">
        <v>420908.27</v>
      </c>
      <c r="O62" s="7" t="n">
        <v>471833.38</v>
      </c>
      <c r="P62" s="7">
        <f>IF(OR($E62&lt;&gt;"da",N62="",O62=""),"",N62-O62)</f>
        <v/>
      </c>
      <c r="Q62" s="7">
        <f>IF(OR($E62&lt;&gt;"da",N62=""),"",IFERROR(N62*1000/J62,""))</f>
        <v/>
      </c>
      <c r="R62" s="7">
        <f>IF(OR($E62&lt;&gt;"da",O62=""),"",IFERROR(O62*1000/J62,""))</f>
        <v/>
      </c>
      <c r="S62" s="7">
        <f>IF(OR($E62&lt;&gt;"da",P62=""),"",IFERROR(P62*1000/J62,""))</f>
        <v/>
      </c>
      <c r="T62" s="8" t="n">
        <v>11</v>
      </c>
      <c r="U62" s="8" t="n">
        <v>14</v>
      </c>
      <c r="V62" s="8" t="n"/>
      <c r="X62" s="7" t="n"/>
      <c r="Y62" s="7" t="n"/>
      <c r="Z62" s="7">
        <f>IF(OR(X62="",Y62=""),"",X62-Y62)</f>
        <v/>
      </c>
      <c r="AA62" s="7">
        <f>IF(OR($AJ62&lt;&gt;"da",X62=""),"",IFERROR(X62*1000/J62,""))</f>
        <v/>
      </c>
      <c r="AB62" s="7">
        <f>IF(OR($AJ62&lt;&gt;"da",Y62=""),"",IFERROR(Y62*1000/J62,""))</f>
        <v/>
      </c>
      <c r="AC62" s="7">
        <f>IF(OR($AJ62&lt;&gt;"da",Z62=""),"",IFERROR(Z62*1000/J62,""))</f>
        <v/>
      </c>
      <c r="AD62" s="8" t="n"/>
      <c r="AE62" s="8" t="n"/>
      <c r="AF62" s="9" t="n"/>
      <c r="AG62" s="9" t="n"/>
      <c r="AH62" s="9" t="n"/>
      <c r="AI62" s="9" t="n"/>
      <c r="AJ62" t="inlineStr">
        <is>
          <t>nu</t>
        </is>
      </c>
      <c r="AK62" t="inlineStr">
        <is>
          <t>executie_lipsa</t>
        </is>
      </c>
      <c r="AL62" t="inlineStr">
        <is>
          <t>NUTS 2024</t>
        </is>
      </c>
      <c r="AM62" t="inlineStr">
        <is>
          <t>RO4</t>
        </is>
      </c>
      <c r="AN62" t="inlineStr">
        <is>
          <t>Macroregiunea Patru</t>
        </is>
      </c>
      <c r="AO62" t="inlineStr">
        <is>
          <t>RO41</t>
        </is>
      </c>
      <c r="AP62" t="inlineStr">
        <is>
          <t>Sud-Vest Oltenia</t>
        </is>
      </c>
      <c r="AQ62" t="inlineStr">
        <is>
          <t>RO412</t>
        </is>
      </c>
      <c r="AR62" t="inlineStr">
        <is>
          <t>Gorj</t>
        </is>
      </c>
      <c r="AS62" s="9" t="n">
        <v>6.8</v>
      </c>
      <c r="AT62" t="inlineStr">
        <is>
          <t>final</t>
        </is>
      </c>
      <c r="AU62" s="9" t="n"/>
      <c r="AV62" s="9" t="n"/>
    </row>
    <row r="63">
      <c r="A63" t="n">
        <v>2025</v>
      </c>
      <c r="B63" t="inlineStr">
        <is>
          <t>83320</t>
        </is>
      </c>
      <c r="C63" t="inlineStr">
        <is>
          <t>Miercurea Ciuc</t>
        </is>
      </c>
      <c r="D63" t="inlineStr">
        <is>
          <t>Harghita</t>
        </is>
      </c>
      <c r="E63" t="inlineStr">
        <is>
          <t>nu</t>
        </is>
      </c>
      <c r="F63" t="inlineStr">
        <is>
          <t>status_failed</t>
        </is>
      </c>
      <c r="H63" s="5" t="n"/>
      <c r="J63" s="6" t="n">
        <v>34484</v>
      </c>
      <c r="K63" t="inlineStr">
        <is>
          <t>2021-12-01</t>
        </is>
      </c>
      <c r="L63" s="7" t="n">
        <v>117.66</v>
      </c>
      <c r="M63" s="7">
        <f>IFERROR(J63/L63,"")</f>
        <v/>
      </c>
      <c r="N63" s="7" t="n"/>
      <c r="O63" s="7" t="n"/>
      <c r="P63" s="7">
        <f>IF(OR($E63&lt;&gt;"da",N63="",O63=""),"",N63-O63)</f>
        <v/>
      </c>
      <c r="Q63" s="7">
        <f>IF(OR($E63&lt;&gt;"da",N63=""),"",IFERROR(N63*1000/J63,""))</f>
        <v/>
      </c>
      <c r="R63" s="7">
        <f>IF(OR($E63&lt;&gt;"da",O63=""),"",IFERROR(O63*1000/J63,""))</f>
        <v/>
      </c>
      <c r="S63" s="7">
        <f>IF(OR($E63&lt;&gt;"da",P63=""),"",IFERROR(P63*1000/J63,""))</f>
        <v/>
      </c>
      <c r="T63" s="8" t="n"/>
      <c r="U63" s="8" t="n"/>
      <c r="V63" s="8" t="n"/>
      <c r="X63" s="7" t="n"/>
      <c r="Y63" s="7" t="n"/>
      <c r="Z63" s="7">
        <f>IF(OR(X63="",Y63=""),"",X63-Y63)</f>
        <v/>
      </c>
      <c r="AA63" s="7">
        <f>IF(OR($AJ63&lt;&gt;"da",X63=""),"",IFERROR(X63*1000/J63,""))</f>
        <v/>
      </c>
      <c r="AB63" s="7">
        <f>IF(OR($AJ63&lt;&gt;"da",Y63=""),"",IFERROR(Y63*1000/J63,""))</f>
        <v/>
      </c>
      <c r="AC63" s="7">
        <f>IF(OR($AJ63&lt;&gt;"da",Z63=""),"",IFERROR(Z63*1000/J63,""))</f>
        <v/>
      </c>
      <c r="AD63" s="8" t="n"/>
      <c r="AE63" s="8" t="n"/>
      <c r="AF63" s="9" t="n"/>
      <c r="AG63" s="9" t="n"/>
      <c r="AH63" s="9" t="n"/>
      <c r="AI63" s="9" t="n"/>
      <c r="AJ63" t="inlineStr">
        <is>
          <t>nu</t>
        </is>
      </c>
      <c r="AK63" t="inlineStr">
        <is>
          <t>executie_lipsa</t>
        </is>
      </c>
      <c r="AL63" t="inlineStr">
        <is>
          <t>NUTS 2024</t>
        </is>
      </c>
      <c r="AM63" t="inlineStr">
        <is>
          <t>RO1</t>
        </is>
      </c>
      <c r="AN63" t="inlineStr">
        <is>
          <t>Macroregiunea Unu</t>
        </is>
      </c>
      <c r="AO63" t="inlineStr">
        <is>
          <t>RO12</t>
        </is>
      </c>
      <c r="AP63" t="inlineStr">
        <is>
          <t>Centru</t>
        </is>
      </c>
      <c r="AQ63" t="inlineStr">
        <is>
          <t>RO124</t>
        </is>
      </c>
      <c r="AR63" t="inlineStr">
        <is>
          <t>Harghita</t>
        </is>
      </c>
      <c r="AS63" s="9" t="n">
        <v>6.8</v>
      </c>
      <c r="AT63" t="inlineStr">
        <is>
          <t>final</t>
        </is>
      </c>
      <c r="AU63" s="9" t="n"/>
      <c r="AV63" s="9" t="n"/>
    </row>
    <row r="64">
      <c r="A64" t="n">
        <v>2025</v>
      </c>
      <c r="B64" t="inlineStr">
        <is>
          <t>86687</t>
        </is>
      </c>
      <c r="C64" t="inlineStr">
        <is>
          <t>Deva</t>
        </is>
      </c>
      <c r="D64" t="inlineStr">
        <is>
          <t>Hunedoara</t>
        </is>
      </c>
      <c r="E64" t="inlineStr">
        <is>
          <t>da</t>
        </is>
      </c>
      <c r="G64" t="inlineStr">
        <is>
          <t>verified</t>
        </is>
      </c>
      <c r="H64" s="5" t="n">
        <v>46.9</v>
      </c>
      <c r="I64" t="inlineStr">
        <is>
          <t>nu</t>
        </is>
      </c>
      <c r="J64" s="6" t="n">
        <v>53113</v>
      </c>
      <c r="K64" t="inlineStr">
        <is>
          <t>2021-12-01</t>
        </is>
      </c>
      <c r="L64" s="7" t="n">
        <v>34</v>
      </c>
      <c r="M64" s="7">
        <f>IFERROR(J64/L64,"")</f>
        <v/>
      </c>
      <c r="N64" s="7" t="n">
        <v>428235.76</v>
      </c>
      <c r="O64" s="7" t="n">
        <v>490221.89</v>
      </c>
      <c r="P64" s="7">
        <f>IF(OR($E64&lt;&gt;"da",N64="",O64=""),"",N64-O64)</f>
        <v/>
      </c>
      <c r="Q64" s="7">
        <f>IF(OR($E64&lt;&gt;"da",N64=""),"",IFERROR(N64*1000/J64,""))</f>
        <v/>
      </c>
      <c r="R64" s="7">
        <f>IF(OR($E64&lt;&gt;"da",O64=""),"",IFERROR(O64*1000/J64,""))</f>
        <v/>
      </c>
      <c r="S64" s="7">
        <f>IF(OR($E64&lt;&gt;"da",P64=""),"",IFERROR(P64*1000/J64,""))</f>
        <v/>
      </c>
      <c r="T64" s="8" t="n">
        <v>4</v>
      </c>
      <c r="U64" s="8" t="n">
        <v>14</v>
      </c>
      <c r="V64" s="8" t="n"/>
      <c r="X64" s="7" t="n"/>
      <c r="Y64" s="7" t="n"/>
      <c r="Z64" s="7">
        <f>IF(OR(X64="",Y64=""),"",X64-Y64)</f>
        <v/>
      </c>
      <c r="AA64" s="7">
        <f>IF(OR($AJ64&lt;&gt;"da",X64=""),"",IFERROR(X64*1000/J64,""))</f>
        <v/>
      </c>
      <c r="AB64" s="7">
        <f>IF(OR($AJ64&lt;&gt;"da",Y64=""),"",IFERROR(Y64*1000/J64,""))</f>
        <v/>
      </c>
      <c r="AC64" s="7">
        <f>IF(OR($AJ64&lt;&gt;"da",Z64=""),"",IFERROR(Z64*1000/J64,""))</f>
        <v/>
      </c>
      <c r="AD64" s="8" t="n"/>
      <c r="AE64" s="8" t="n"/>
      <c r="AF64" s="9" t="n"/>
      <c r="AG64" s="9" t="n"/>
      <c r="AH64" s="9" t="n"/>
      <c r="AI64" s="9" t="n"/>
      <c r="AJ64" t="inlineStr">
        <is>
          <t>nu</t>
        </is>
      </c>
      <c r="AK64" t="inlineStr">
        <is>
          <t>executie_lipsa</t>
        </is>
      </c>
      <c r="AL64" t="inlineStr">
        <is>
          <t>NUTS 2024</t>
        </is>
      </c>
      <c r="AM64" t="inlineStr">
        <is>
          <t>RO4</t>
        </is>
      </c>
      <c r="AN64" t="inlineStr">
        <is>
          <t>Macroregiunea Patru</t>
        </is>
      </c>
      <c r="AO64" t="inlineStr">
        <is>
          <t>RO42</t>
        </is>
      </c>
      <c r="AP64" t="inlineStr">
        <is>
          <t>Vest</t>
        </is>
      </c>
      <c r="AQ64" t="inlineStr">
        <is>
          <t>RO423</t>
        </is>
      </c>
      <c r="AR64" t="inlineStr">
        <is>
          <t>Hunedoara</t>
        </is>
      </c>
      <c r="AS64" s="9" t="n">
        <v>6.8</v>
      </c>
      <c r="AT64" t="inlineStr">
        <is>
          <t>final</t>
        </is>
      </c>
      <c r="AU64" s="9" t="n"/>
      <c r="AV64" s="9" t="n"/>
    </row>
    <row r="65">
      <c r="A65" t="n">
        <v>2025</v>
      </c>
      <c r="B65" t="inlineStr">
        <is>
          <t>92658</t>
        </is>
      </c>
      <c r="C65" t="inlineStr">
        <is>
          <t>Slobozia</t>
        </is>
      </c>
      <c r="D65" t="inlineStr">
        <is>
          <t>Ialomița</t>
        </is>
      </c>
      <c r="E65" t="inlineStr">
        <is>
          <t>nu</t>
        </is>
      </c>
      <c r="F65" t="inlineStr">
        <is>
          <t>total_cheltuieli_lipsa</t>
        </is>
      </c>
      <c r="G65" t="inlineStr">
        <is>
          <t>verified</t>
        </is>
      </c>
      <c r="H65" s="5" t="n">
        <v>78.3</v>
      </c>
      <c r="I65" t="inlineStr">
        <is>
          <t>nu</t>
        </is>
      </c>
      <c r="J65" s="6" t="n">
        <v>41550</v>
      </c>
      <c r="K65" t="inlineStr">
        <is>
          <t>2021-12-01</t>
        </is>
      </c>
      <c r="L65" s="7" t="n">
        <v>132.87</v>
      </c>
      <c r="M65" s="7">
        <f>IFERROR(J65/L65,"")</f>
        <v/>
      </c>
      <c r="N65" s="7" t="n">
        <v>287369.695</v>
      </c>
      <c r="O65" s="7" t="n"/>
      <c r="P65" s="7">
        <f>IF(OR($E65&lt;&gt;"da",N65="",O65=""),"",N65-O65)</f>
        <v/>
      </c>
      <c r="Q65" s="7">
        <f>IF(OR($E65&lt;&gt;"da",N65=""),"",IFERROR(N65*1000/J65,""))</f>
        <v/>
      </c>
      <c r="R65" s="7">
        <f>IF(OR($E65&lt;&gt;"da",O65=""),"",IFERROR(O65*1000/J65,""))</f>
        <v/>
      </c>
      <c r="S65" s="7">
        <f>IF(OR($E65&lt;&gt;"da",P65=""),"",IFERROR(P65*1000/J65,""))</f>
        <v/>
      </c>
      <c r="T65" s="8" t="n"/>
      <c r="U65" s="8" t="n"/>
      <c r="V65" s="8" t="n"/>
      <c r="X65" s="7" t="n"/>
      <c r="Y65" s="7" t="n"/>
      <c r="Z65" s="7">
        <f>IF(OR(X65="",Y65=""),"",X65-Y65)</f>
        <v/>
      </c>
      <c r="AA65" s="7">
        <f>IF(OR($AJ65&lt;&gt;"da",X65=""),"",IFERROR(X65*1000/J65,""))</f>
        <v/>
      </c>
      <c r="AB65" s="7">
        <f>IF(OR($AJ65&lt;&gt;"da",Y65=""),"",IFERROR(Y65*1000/J65,""))</f>
        <v/>
      </c>
      <c r="AC65" s="7">
        <f>IF(OR($AJ65&lt;&gt;"da",Z65=""),"",IFERROR(Z65*1000/J65,""))</f>
        <v/>
      </c>
      <c r="AD65" s="8" t="n"/>
      <c r="AE65" s="8" t="n"/>
      <c r="AF65" s="9" t="n"/>
      <c r="AG65" s="9" t="n"/>
      <c r="AH65" s="9" t="n"/>
      <c r="AI65" s="9" t="n"/>
      <c r="AJ65" t="inlineStr">
        <is>
          <t>nu</t>
        </is>
      </c>
      <c r="AK65" t="inlineStr">
        <is>
          <t>executie_lipsa</t>
        </is>
      </c>
      <c r="AL65" t="inlineStr">
        <is>
          <t>NUTS 2024</t>
        </is>
      </c>
      <c r="AM65" t="inlineStr">
        <is>
          <t>RO3</t>
        </is>
      </c>
      <c r="AN65" t="inlineStr">
        <is>
          <t>Macroregiunea Trei</t>
        </is>
      </c>
      <c r="AO65" t="inlineStr">
        <is>
          <t>RO31</t>
        </is>
      </c>
      <c r="AP65" t="inlineStr">
        <is>
          <t>Sud-Muntenia</t>
        </is>
      </c>
      <c r="AQ65" t="inlineStr">
        <is>
          <t>RO315</t>
        </is>
      </c>
      <c r="AR65" t="inlineStr">
        <is>
          <t>Ialomița</t>
        </is>
      </c>
      <c r="AS65" s="9" t="n">
        <v>6.8</v>
      </c>
      <c r="AT65" t="inlineStr">
        <is>
          <t>final</t>
        </is>
      </c>
      <c r="AU65" s="9" t="n"/>
      <c r="AV65" s="9" t="n"/>
    </row>
    <row r="66">
      <c r="A66" t="n">
        <v>2025</v>
      </c>
      <c r="B66" t="inlineStr">
        <is>
          <t>95060</t>
        </is>
      </c>
      <c r="C66" t="inlineStr">
        <is>
          <t>Iași</t>
        </is>
      </c>
      <c r="D66" t="inlineStr">
        <is>
          <t>Iași</t>
        </is>
      </c>
      <c r="E66" t="inlineStr">
        <is>
          <t>nu</t>
        </is>
      </c>
      <c r="F66" t="inlineStr">
        <is>
          <t>total_cheltuieli_lipsa</t>
        </is>
      </c>
      <c r="G66" t="inlineStr">
        <is>
          <t>verified</t>
        </is>
      </c>
      <c r="H66" s="5" t="n">
        <v>95.40000000000001</v>
      </c>
      <c r="I66" t="inlineStr">
        <is>
          <t>nu</t>
        </is>
      </c>
      <c r="J66" s="6" t="n">
        <v>271692</v>
      </c>
      <c r="K66" t="inlineStr">
        <is>
          <t>2021-12-01</t>
        </is>
      </c>
      <c r="L66" s="7" t="n">
        <v>94</v>
      </c>
      <c r="M66" s="7">
        <f>IFERROR(J66/L66,"")</f>
        <v/>
      </c>
      <c r="N66" s="7" t="n"/>
      <c r="O66" s="7" t="n"/>
      <c r="P66" s="7">
        <f>IF(OR($E66&lt;&gt;"da",N66="",O66=""),"",N66-O66)</f>
        <v/>
      </c>
      <c r="Q66" s="7">
        <f>IF(OR($E66&lt;&gt;"da",N66=""),"",IFERROR(N66*1000/J66,""))</f>
        <v/>
      </c>
      <c r="R66" s="7">
        <f>IF(OR($E66&lt;&gt;"da",O66=""),"",IFERROR(O66*1000/J66,""))</f>
        <v/>
      </c>
      <c r="S66" s="7">
        <f>IF(OR($E66&lt;&gt;"da",P66=""),"",IFERROR(P66*1000/J66,""))</f>
        <v/>
      </c>
      <c r="T66" s="8" t="n"/>
      <c r="U66" s="8" t="n"/>
      <c r="V66" s="8" t="n"/>
      <c r="X66" s="7" t="n"/>
      <c r="Y66" s="7" t="n"/>
      <c r="Z66" s="7">
        <f>IF(OR(X66="",Y66=""),"",X66-Y66)</f>
        <v/>
      </c>
      <c r="AA66" s="7">
        <f>IF(OR($AJ66&lt;&gt;"da",X66=""),"",IFERROR(X66*1000/J66,""))</f>
        <v/>
      </c>
      <c r="AB66" s="7">
        <f>IF(OR($AJ66&lt;&gt;"da",Y66=""),"",IFERROR(Y66*1000/J66,""))</f>
        <v/>
      </c>
      <c r="AC66" s="7">
        <f>IF(OR($AJ66&lt;&gt;"da",Z66=""),"",IFERROR(Z66*1000/J66,""))</f>
        <v/>
      </c>
      <c r="AD66" s="8" t="n"/>
      <c r="AE66" s="8" t="n"/>
      <c r="AF66" s="9" t="n"/>
      <c r="AG66" s="9" t="n"/>
      <c r="AH66" s="9" t="n"/>
      <c r="AI66" s="9" t="n"/>
      <c r="AJ66" t="inlineStr">
        <is>
          <t>nu</t>
        </is>
      </c>
      <c r="AK66" t="inlineStr">
        <is>
          <t>executie_lipsa</t>
        </is>
      </c>
      <c r="AL66" t="inlineStr">
        <is>
          <t>NUTS 2024</t>
        </is>
      </c>
      <c r="AM66" t="inlineStr">
        <is>
          <t>RO2</t>
        </is>
      </c>
      <c r="AN66" t="inlineStr">
        <is>
          <t>Macroregiunea Doi</t>
        </is>
      </c>
      <c r="AO66" t="inlineStr">
        <is>
          <t>RO21</t>
        </is>
      </c>
      <c r="AP66" t="inlineStr">
        <is>
          <t>Nord-Est</t>
        </is>
      </c>
      <c r="AQ66" t="inlineStr">
        <is>
          <t>RO213</t>
        </is>
      </c>
      <c r="AR66" t="inlineStr">
        <is>
          <t>Iași</t>
        </is>
      </c>
      <c r="AS66" s="9" t="n">
        <v>6.8</v>
      </c>
      <c r="AT66" t="inlineStr">
        <is>
          <t>final</t>
        </is>
      </c>
      <c r="AU66" s="9" t="n"/>
      <c r="AV66" s="9" t="n"/>
    </row>
    <row r="67">
      <c r="A67" t="n">
        <v>2025</v>
      </c>
      <c r="B67" t="inlineStr">
        <is>
          <t>106318</t>
        </is>
      </c>
      <c r="C67" t="inlineStr">
        <is>
          <t>Baia Mare</t>
        </is>
      </c>
      <c r="D67" t="inlineStr">
        <is>
          <t>Maramureș</t>
        </is>
      </c>
      <c r="E67" t="inlineStr">
        <is>
          <t>da</t>
        </is>
      </c>
      <c r="G67" t="inlineStr">
        <is>
          <t>verified</t>
        </is>
      </c>
      <c r="H67" s="5" t="n">
        <v>70.5</v>
      </c>
      <c r="I67" t="inlineStr">
        <is>
          <t>nu</t>
        </is>
      </c>
      <c r="J67" s="6" t="n">
        <v>108759</v>
      </c>
      <c r="K67" t="inlineStr">
        <is>
          <t>2021-12-01</t>
        </is>
      </c>
      <c r="L67" s="7" t="n">
        <v>236</v>
      </c>
      <c r="M67" s="7">
        <f>IFERROR(J67/L67,"")</f>
        <v/>
      </c>
      <c r="N67" s="7" t="n">
        <v>1006361</v>
      </c>
      <c r="O67" s="7" t="n">
        <v>384333</v>
      </c>
      <c r="P67" s="7">
        <f>IF(OR($E67&lt;&gt;"da",N67="",O67=""),"",N67-O67)</f>
        <v/>
      </c>
      <c r="Q67" s="7">
        <f>IF(OR($E67&lt;&gt;"da",N67=""),"",IFERROR(N67*1000/J67,""))</f>
        <v/>
      </c>
      <c r="R67" s="7">
        <f>IF(OR($E67&lt;&gt;"da",O67=""),"",IFERROR(O67*1000/J67,""))</f>
        <v/>
      </c>
      <c r="S67" s="7">
        <f>IF(OR($E67&lt;&gt;"da",P67=""),"",IFERROR(P67*1000/J67,""))</f>
        <v/>
      </c>
      <c r="T67" s="8" t="n">
        <v>14</v>
      </c>
      <c r="U67" s="8" t="n">
        <v>14</v>
      </c>
      <c r="V67" s="8" t="n"/>
      <c r="X67" s="7" t="n"/>
      <c r="Y67" s="7" t="n"/>
      <c r="Z67" s="7">
        <f>IF(OR(X67="",Y67=""),"",X67-Y67)</f>
        <v/>
      </c>
      <c r="AA67" s="7">
        <f>IF(OR($AJ67&lt;&gt;"da",X67=""),"",IFERROR(X67*1000/J67,""))</f>
        <v/>
      </c>
      <c r="AB67" s="7">
        <f>IF(OR($AJ67&lt;&gt;"da",Y67=""),"",IFERROR(Y67*1000/J67,""))</f>
        <v/>
      </c>
      <c r="AC67" s="7">
        <f>IF(OR($AJ67&lt;&gt;"da",Z67=""),"",IFERROR(Z67*1000/J67,""))</f>
        <v/>
      </c>
      <c r="AD67" s="8" t="n"/>
      <c r="AE67" s="8" t="n"/>
      <c r="AF67" s="9" t="n"/>
      <c r="AG67" s="9" t="n"/>
      <c r="AH67" s="9" t="n">
        <v>28.59</v>
      </c>
      <c r="AI67" s="9" t="n">
        <v>-51.51</v>
      </c>
      <c r="AJ67" t="inlineStr">
        <is>
          <t>nu</t>
        </is>
      </c>
      <c r="AK67" t="inlineStr">
        <is>
          <t>executie_lipsa</t>
        </is>
      </c>
      <c r="AL67" t="inlineStr">
        <is>
          <t>NUTS 2024</t>
        </is>
      </c>
      <c r="AM67" t="inlineStr">
        <is>
          <t>RO1</t>
        </is>
      </c>
      <c r="AN67" t="inlineStr">
        <is>
          <t>Macroregiunea Unu</t>
        </is>
      </c>
      <c r="AO67" t="inlineStr">
        <is>
          <t>RO11</t>
        </is>
      </c>
      <c r="AP67" t="inlineStr">
        <is>
          <t>Nord-Vest</t>
        </is>
      </c>
      <c r="AQ67" t="inlineStr">
        <is>
          <t>RO114</t>
        </is>
      </c>
      <c r="AR67" t="inlineStr">
        <is>
          <t>Maramureș</t>
        </is>
      </c>
      <c r="AS67" s="9" t="n">
        <v>6.8</v>
      </c>
      <c r="AT67" t="inlineStr">
        <is>
          <t>final</t>
        </is>
      </c>
      <c r="AU67" s="9" t="n">
        <v>20.4</v>
      </c>
      <c r="AV67" s="9" t="n">
        <v>-54.6</v>
      </c>
    </row>
    <row r="68">
      <c r="A68" t="n">
        <v>2025</v>
      </c>
      <c r="B68" t="inlineStr">
        <is>
          <t>109773</t>
        </is>
      </c>
      <c r="C68" t="inlineStr">
        <is>
          <t>Drobeta-Turnu Severin</t>
        </is>
      </c>
      <c r="D68" t="inlineStr">
        <is>
          <t>Mehedinți</t>
        </is>
      </c>
      <c r="E68" t="inlineStr">
        <is>
          <t>nu</t>
        </is>
      </c>
      <c r="F68" t="inlineStr">
        <is>
          <t>status_missing_pdf</t>
        </is>
      </c>
      <c r="H68" s="5" t="n"/>
      <c r="J68" s="6" t="n">
        <v>79865</v>
      </c>
      <c r="K68" t="inlineStr">
        <is>
          <t>2021-12-01</t>
        </is>
      </c>
      <c r="L68" s="7" t="n">
        <v>57.43</v>
      </c>
      <c r="M68" s="7">
        <f>IFERROR(J68/L68,"")</f>
        <v/>
      </c>
      <c r="N68" s="7" t="n"/>
      <c r="O68" s="7" t="n"/>
      <c r="P68" s="7">
        <f>IF(OR($E68&lt;&gt;"da",N68="",O68=""),"",N68-O68)</f>
        <v/>
      </c>
      <c r="Q68" s="7">
        <f>IF(OR($E68&lt;&gt;"da",N68=""),"",IFERROR(N68*1000/J68,""))</f>
        <v/>
      </c>
      <c r="R68" s="7">
        <f>IF(OR($E68&lt;&gt;"da",O68=""),"",IFERROR(O68*1000/J68,""))</f>
        <v/>
      </c>
      <c r="S68" s="7">
        <f>IF(OR($E68&lt;&gt;"da",P68=""),"",IFERROR(P68*1000/J68,""))</f>
        <v/>
      </c>
      <c r="T68" s="8" t="n"/>
      <c r="U68" s="8" t="n"/>
      <c r="V68" s="8" t="n"/>
      <c r="X68" s="7" t="n"/>
      <c r="Y68" s="7" t="n"/>
      <c r="Z68" s="7">
        <f>IF(OR(X68="",Y68=""),"",X68-Y68)</f>
        <v/>
      </c>
      <c r="AA68" s="7">
        <f>IF(OR($AJ68&lt;&gt;"da",X68=""),"",IFERROR(X68*1000/J68,""))</f>
        <v/>
      </c>
      <c r="AB68" s="7">
        <f>IF(OR($AJ68&lt;&gt;"da",Y68=""),"",IFERROR(Y68*1000/J68,""))</f>
        <v/>
      </c>
      <c r="AC68" s="7">
        <f>IF(OR($AJ68&lt;&gt;"da",Z68=""),"",IFERROR(Z68*1000/J68,""))</f>
        <v/>
      </c>
      <c r="AD68" s="8" t="n"/>
      <c r="AE68" s="8" t="n"/>
      <c r="AF68" s="9" t="n"/>
      <c r="AG68" s="9" t="n"/>
      <c r="AH68" s="9" t="n"/>
      <c r="AI68" s="9" t="n"/>
      <c r="AJ68" t="inlineStr">
        <is>
          <t>nu</t>
        </is>
      </c>
      <c r="AK68" t="inlineStr">
        <is>
          <t>executie_lipsa</t>
        </is>
      </c>
      <c r="AL68" t="inlineStr">
        <is>
          <t>NUTS 2024</t>
        </is>
      </c>
      <c r="AM68" t="inlineStr">
        <is>
          <t>RO4</t>
        </is>
      </c>
      <c r="AN68" t="inlineStr">
        <is>
          <t>Macroregiunea Patru</t>
        </is>
      </c>
      <c r="AO68" t="inlineStr">
        <is>
          <t>RO41</t>
        </is>
      </c>
      <c r="AP68" t="inlineStr">
        <is>
          <t>Sud-Vest Oltenia</t>
        </is>
      </c>
      <c r="AQ68" t="inlineStr">
        <is>
          <t>RO413</t>
        </is>
      </c>
      <c r="AR68" t="inlineStr">
        <is>
          <t>Mehedinți</t>
        </is>
      </c>
      <c r="AS68" s="9" t="n">
        <v>6.8</v>
      </c>
      <c r="AT68" t="inlineStr">
        <is>
          <t>final</t>
        </is>
      </c>
      <c r="AU68" s="9" t="n"/>
      <c r="AV68" s="9" t="n"/>
    </row>
    <row r="69">
      <c r="A69" t="n">
        <v>2025</v>
      </c>
      <c r="B69" t="inlineStr">
        <is>
          <t>114319</t>
        </is>
      </c>
      <c r="C69" t="inlineStr">
        <is>
          <t>Târgu Mureș</t>
        </is>
      </c>
      <c r="D69" t="inlineStr">
        <is>
          <t>Mureș</t>
        </is>
      </c>
      <c r="E69" t="inlineStr">
        <is>
          <t>nu</t>
        </is>
      </c>
      <c r="F69" t="inlineStr">
        <is>
          <t>total_cheltuieli_lipsa</t>
        </is>
      </c>
      <c r="G69" t="inlineStr">
        <is>
          <t>verified</t>
        </is>
      </c>
      <c r="H69" s="5" t="n">
        <v>74.09999999999999</v>
      </c>
      <c r="I69" t="inlineStr">
        <is>
          <t>nu</t>
        </is>
      </c>
      <c r="J69" s="6" t="n">
        <v>116033</v>
      </c>
      <c r="K69" t="inlineStr">
        <is>
          <t>2021-12-01</t>
        </is>
      </c>
      <c r="L69" s="7" t="n">
        <v>66.95999999999999</v>
      </c>
      <c r="M69" s="7">
        <f>IFERROR(J69/L69,"")</f>
        <v/>
      </c>
      <c r="N69" s="7" t="n">
        <v>898933</v>
      </c>
      <c r="O69" s="7" t="n"/>
      <c r="P69" s="7">
        <f>IF(OR($E69&lt;&gt;"da",N69="",O69=""),"",N69-O69)</f>
        <v/>
      </c>
      <c r="Q69" s="7">
        <f>IF(OR($E69&lt;&gt;"da",N69=""),"",IFERROR(N69*1000/J69,""))</f>
        <v/>
      </c>
      <c r="R69" s="7">
        <f>IF(OR($E69&lt;&gt;"da",O69=""),"",IFERROR(O69*1000/J69,""))</f>
        <v/>
      </c>
      <c r="S69" s="7">
        <f>IF(OR($E69&lt;&gt;"da",P69=""),"",IFERROR(P69*1000/J69,""))</f>
        <v/>
      </c>
      <c r="T69" s="8" t="n"/>
      <c r="U69" s="8" t="n"/>
      <c r="V69" s="8" t="n"/>
      <c r="X69" s="7" t="n"/>
      <c r="Y69" s="7" t="n"/>
      <c r="Z69" s="7">
        <f>IF(OR(X69="",Y69=""),"",X69-Y69)</f>
        <v/>
      </c>
      <c r="AA69" s="7">
        <f>IF(OR($AJ69&lt;&gt;"da",X69=""),"",IFERROR(X69*1000/J69,""))</f>
        <v/>
      </c>
      <c r="AB69" s="7">
        <f>IF(OR($AJ69&lt;&gt;"da",Y69=""),"",IFERROR(Y69*1000/J69,""))</f>
        <v/>
      </c>
      <c r="AC69" s="7">
        <f>IF(OR($AJ69&lt;&gt;"da",Z69=""),"",IFERROR(Z69*1000/J69,""))</f>
        <v/>
      </c>
      <c r="AD69" s="8" t="n"/>
      <c r="AE69" s="8" t="n"/>
      <c r="AF69" s="9" t="n"/>
      <c r="AG69" s="9" t="n"/>
      <c r="AH69" s="9" t="n"/>
      <c r="AI69" s="9" t="n"/>
      <c r="AJ69" t="inlineStr">
        <is>
          <t>nu</t>
        </is>
      </c>
      <c r="AK69" t="inlineStr">
        <is>
          <t>executie_lipsa</t>
        </is>
      </c>
      <c r="AL69" t="inlineStr">
        <is>
          <t>NUTS 2024</t>
        </is>
      </c>
      <c r="AM69" t="inlineStr">
        <is>
          <t>RO1</t>
        </is>
      </c>
      <c r="AN69" t="inlineStr">
        <is>
          <t>Macroregiunea Unu</t>
        </is>
      </c>
      <c r="AO69" t="inlineStr">
        <is>
          <t>RO12</t>
        </is>
      </c>
      <c r="AP69" t="inlineStr">
        <is>
          <t>Centru</t>
        </is>
      </c>
      <c r="AQ69" t="inlineStr">
        <is>
          <t>RO125</t>
        </is>
      </c>
      <c r="AR69" t="inlineStr">
        <is>
          <t>Mureș</t>
        </is>
      </c>
      <c r="AS69" s="9" t="n">
        <v>6.8</v>
      </c>
      <c r="AT69" t="inlineStr">
        <is>
          <t>final</t>
        </is>
      </c>
      <c r="AU69" s="9" t="n"/>
      <c r="AV69" s="9" t="n"/>
    </row>
    <row r="70">
      <c r="A70" t="n">
        <v>2025</v>
      </c>
      <c r="B70" t="inlineStr">
        <is>
          <t>120726</t>
        </is>
      </c>
      <c r="C70" t="inlineStr">
        <is>
          <t>Piatra-Neamț</t>
        </is>
      </c>
      <c r="D70" t="inlineStr">
        <is>
          <t>Neamț</t>
        </is>
      </c>
      <c r="E70" t="inlineStr">
        <is>
          <t>nu</t>
        </is>
      </c>
      <c r="F70" t="inlineStr">
        <is>
          <t>total_cheltuieli_lipsa</t>
        </is>
      </c>
      <c r="G70" t="inlineStr">
        <is>
          <t>verified</t>
        </is>
      </c>
      <c r="H70" s="5" t="n">
        <v>85.09999999999999</v>
      </c>
      <c r="I70" t="inlineStr">
        <is>
          <t>nu</t>
        </is>
      </c>
      <c r="J70" s="6" t="n">
        <v>79679</v>
      </c>
      <c r="K70" t="inlineStr">
        <is>
          <t>2021-12-01</t>
        </is>
      </c>
      <c r="L70" s="7" t="n">
        <v>77.40000000000001</v>
      </c>
      <c r="M70" s="7">
        <f>IFERROR(J70/L70,"")</f>
        <v/>
      </c>
      <c r="N70" s="7" t="n"/>
      <c r="O70" s="7" t="n"/>
      <c r="P70" s="7">
        <f>IF(OR($E70&lt;&gt;"da",N70="",O70=""),"",N70-O70)</f>
        <v/>
      </c>
      <c r="Q70" s="7">
        <f>IF(OR($E70&lt;&gt;"da",N70=""),"",IFERROR(N70*1000/J70,""))</f>
        <v/>
      </c>
      <c r="R70" s="7">
        <f>IF(OR($E70&lt;&gt;"da",O70=""),"",IFERROR(O70*1000/J70,""))</f>
        <v/>
      </c>
      <c r="S70" s="7">
        <f>IF(OR($E70&lt;&gt;"da",P70=""),"",IFERROR(P70*1000/J70,""))</f>
        <v/>
      </c>
      <c r="T70" s="8" t="n"/>
      <c r="U70" s="8" t="n"/>
      <c r="V70" s="8" t="n"/>
      <c r="X70" s="7" t="n"/>
      <c r="Y70" s="7" t="n"/>
      <c r="Z70" s="7">
        <f>IF(OR(X70="",Y70=""),"",X70-Y70)</f>
        <v/>
      </c>
      <c r="AA70" s="7">
        <f>IF(OR($AJ70&lt;&gt;"da",X70=""),"",IFERROR(X70*1000/J70,""))</f>
        <v/>
      </c>
      <c r="AB70" s="7">
        <f>IF(OR($AJ70&lt;&gt;"da",Y70=""),"",IFERROR(Y70*1000/J70,""))</f>
        <v/>
      </c>
      <c r="AC70" s="7">
        <f>IF(OR($AJ70&lt;&gt;"da",Z70=""),"",IFERROR(Z70*1000/J70,""))</f>
        <v/>
      </c>
      <c r="AD70" s="8" t="n"/>
      <c r="AE70" s="8" t="n"/>
      <c r="AF70" s="9" t="n"/>
      <c r="AG70" s="9" t="n"/>
      <c r="AH70" s="9" t="n"/>
      <c r="AI70" s="9" t="n"/>
      <c r="AJ70" t="inlineStr">
        <is>
          <t>nu</t>
        </is>
      </c>
      <c r="AK70" t="inlineStr">
        <is>
          <t>executie_lipsa</t>
        </is>
      </c>
      <c r="AL70" t="inlineStr">
        <is>
          <t>NUTS 2024</t>
        </is>
      </c>
      <c r="AM70" t="inlineStr">
        <is>
          <t>RO2</t>
        </is>
      </c>
      <c r="AN70" t="inlineStr">
        <is>
          <t>Macroregiunea Doi</t>
        </is>
      </c>
      <c r="AO70" t="inlineStr">
        <is>
          <t>RO21</t>
        </is>
      </c>
      <c r="AP70" t="inlineStr">
        <is>
          <t>Nord-Est</t>
        </is>
      </c>
      <c r="AQ70" t="inlineStr">
        <is>
          <t>RO214</t>
        </is>
      </c>
      <c r="AR70" t="inlineStr">
        <is>
          <t>Neamț</t>
        </is>
      </c>
      <c r="AS70" s="9" t="n">
        <v>6.8</v>
      </c>
      <c r="AT70" t="inlineStr">
        <is>
          <t>final</t>
        </is>
      </c>
      <c r="AU70" s="9" t="n"/>
      <c r="AV70" s="9" t="n"/>
    </row>
    <row r="71">
      <c r="A71" t="n">
        <v>2025</v>
      </c>
      <c r="B71" t="inlineStr">
        <is>
          <t>125347</t>
        </is>
      </c>
      <c r="C71" t="inlineStr">
        <is>
          <t>Slatina</t>
        </is>
      </c>
      <c r="D71" t="inlineStr">
        <is>
          <t>Olt</t>
        </is>
      </c>
      <c r="E71" t="inlineStr">
        <is>
          <t>nu</t>
        </is>
      </c>
      <c r="F71" t="inlineStr">
        <is>
          <t>total_cheltuieli_lipsa</t>
        </is>
      </c>
      <c r="G71" t="inlineStr">
        <is>
          <t>verified</t>
        </is>
      </c>
      <c r="H71" s="5" t="n">
        <v>99.90000000000001</v>
      </c>
      <c r="I71" t="inlineStr">
        <is>
          <t>nu</t>
        </is>
      </c>
      <c r="J71" s="6" t="n">
        <v>63487</v>
      </c>
      <c r="K71" t="inlineStr">
        <is>
          <t>2021-12-01</t>
        </is>
      </c>
      <c r="L71" s="7" t="n">
        <v>53.93</v>
      </c>
      <c r="M71" s="7">
        <f>IFERROR(J71/L71,"")</f>
        <v/>
      </c>
      <c r="N71" s="7" t="n"/>
      <c r="O71" s="7" t="n"/>
      <c r="P71" s="7">
        <f>IF(OR($E71&lt;&gt;"da",N71="",O71=""),"",N71-O71)</f>
        <v/>
      </c>
      <c r="Q71" s="7">
        <f>IF(OR($E71&lt;&gt;"da",N71=""),"",IFERROR(N71*1000/J71,""))</f>
        <v/>
      </c>
      <c r="R71" s="7">
        <f>IF(OR($E71&lt;&gt;"da",O71=""),"",IFERROR(O71*1000/J71,""))</f>
        <v/>
      </c>
      <c r="S71" s="7">
        <f>IF(OR($E71&lt;&gt;"da",P71=""),"",IFERROR(P71*1000/J71,""))</f>
        <v/>
      </c>
      <c r="T71" s="8" t="n"/>
      <c r="U71" s="8" t="n"/>
      <c r="V71" s="8" t="n"/>
      <c r="X71" s="7" t="n"/>
      <c r="Y71" s="7" t="n"/>
      <c r="Z71" s="7">
        <f>IF(OR(X71="",Y71=""),"",X71-Y71)</f>
        <v/>
      </c>
      <c r="AA71" s="7">
        <f>IF(OR($AJ71&lt;&gt;"da",X71=""),"",IFERROR(X71*1000/J71,""))</f>
        <v/>
      </c>
      <c r="AB71" s="7">
        <f>IF(OR($AJ71&lt;&gt;"da",Y71=""),"",IFERROR(Y71*1000/J71,""))</f>
        <v/>
      </c>
      <c r="AC71" s="7">
        <f>IF(OR($AJ71&lt;&gt;"da",Z71=""),"",IFERROR(Z71*1000/J71,""))</f>
        <v/>
      </c>
      <c r="AD71" s="8" t="n"/>
      <c r="AE71" s="8" t="n"/>
      <c r="AF71" s="9" t="n"/>
      <c r="AG71" s="9" t="n"/>
      <c r="AH71" s="9" t="n"/>
      <c r="AI71" s="9" t="n"/>
      <c r="AJ71" t="inlineStr">
        <is>
          <t>nu</t>
        </is>
      </c>
      <c r="AK71" t="inlineStr">
        <is>
          <t>executie_lipsa</t>
        </is>
      </c>
      <c r="AL71" t="inlineStr">
        <is>
          <t>NUTS 2024</t>
        </is>
      </c>
      <c r="AM71" t="inlineStr">
        <is>
          <t>RO4</t>
        </is>
      </c>
      <c r="AN71" t="inlineStr">
        <is>
          <t>Macroregiunea Patru</t>
        </is>
      </c>
      <c r="AO71" t="inlineStr">
        <is>
          <t>RO41</t>
        </is>
      </c>
      <c r="AP71" t="inlineStr">
        <is>
          <t>Sud-Vest Oltenia</t>
        </is>
      </c>
      <c r="AQ71" t="inlineStr">
        <is>
          <t>RO414</t>
        </is>
      </c>
      <c r="AR71" t="inlineStr">
        <is>
          <t>Olt</t>
        </is>
      </c>
      <c r="AS71" s="9" t="n">
        <v>6.8</v>
      </c>
      <c r="AT71" t="inlineStr">
        <is>
          <t>final</t>
        </is>
      </c>
      <c r="AU71" s="9" t="n"/>
      <c r="AV71" s="9" t="n"/>
    </row>
    <row r="72">
      <c r="A72" t="n">
        <v>2025</v>
      </c>
      <c r="B72" t="inlineStr">
        <is>
          <t>130534</t>
        </is>
      </c>
      <c r="C72" t="inlineStr">
        <is>
          <t>Ploiești</t>
        </is>
      </c>
      <c r="D72" t="inlineStr">
        <is>
          <t>Prahova</t>
        </is>
      </c>
      <c r="E72" t="inlineStr">
        <is>
          <t>nu</t>
        </is>
      </c>
      <c r="F72" t="inlineStr">
        <is>
          <t>total_cheltuieli_lipsa</t>
        </is>
      </c>
      <c r="G72" t="inlineStr">
        <is>
          <t>verified</t>
        </is>
      </c>
      <c r="H72" s="5" t="n">
        <v>70</v>
      </c>
      <c r="I72" t="inlineStr">
        <is>
          <t>nu</t>
        </is>
      </c>
      <c r="J72" s="6" t="n">
        <v>180540</v>
      </c>
      <c r="K72" t="inlineStr">
        <is>
          <t>2021-12-01</t>
        </is>
      </c>
      <c r="L72" s="7" t="n">
        <v>89.2</v>
      </c>
      <c r="M72" s="7">
        <f>IFERROR(J72/L72,"")</f>
        <v/>
      </c>
      <c r="N72" s="7" t="n"/>
      <c r="O72" s="7" t="n"/>
      <c r="P72" s="7">
        <f>IF(OR($E72&lt;&gt;"da",N72="",O72=""),"",N72-O72)</f>
        <v/>
      </c>
      <c r="Q72" s="7">
        <f>IF(OR($E72&lt;&gt;"da",N72=""),"",IFERROR(N72*1000/J72,""))</f>
        <v/>
      </c>
      <c r="R72" s="7">
        <f>IF(OR($E72&lt;&gt;"da",O72=""),"",IFERROR(O72*1000/J72,""))</f>
        <v/>
      </c>
      <c r="S72" s="7">
        <f>IF(OR($E72&lt;&gt;"da",P72=""),"",IFERROR(P72*1000/J72,""))</f>
        <v/>
      </c>
      <c r="T72" s="8" t="n"/>
      <c r="U72" s="8" t="n"/>
      <c r="V72" s="8" t="n"/>
      <c r="X72" s="7" t="n"/>
      <c r="Y72" s="7" t="n"/>
      <c r="Z72" s="7">
        <f>IF(OR(X72="",Y72=""),"",X72-Y72)</f>
        <v/>
      </c>
      <c r="AA72" s="7">
        <f>IF(OR($AJ72&lt;&gt;"da",X72=""),"",IFERROR(X72*1000/J72,""))</f>
        <v/>
      </c>
      <c r="AB72" s="7">
        <f>IF(OR($AJ72&lt;&gt;"da",Y72=""),"",IFERROR(Y72*1000/J72,""))</f>
        <v/>
      </c>
      <c r="AC72" s="7">
        <f>IF(OR($AJ72&lt;&gt;"da",Z72=""),"",IFERROR(Z72*1000/J72,""))</f>
        <v/>
      </c>
      <c r="AD72" s="8" t="n"/>
      <c r="AE72" s="8" t="n"/>
      <c r="AF72" s="9" t="n"/>
      <c r="AG72" s="9" t="n"/>
      <c r="AH72" s="9" t="n"/>
      <c r="AI72" s="9" t="n"/>
      <c r="AJ72" t="inlineStr">
        <is>
          <t>nu</t>
        </is>
      </c>
      <c r="AK72" t="inlineStr">
        <is>
          <t>executie_lipsa</t>
        </is>
      </c>
      <c r="AL72" t="inlineStr">
        <is>
          <t>NUTS 2024</t>
        </is>
      </c>
      <c r="AM72" t="inlineStr">
        <is>
          <t>RO3</t>
        </is>
      </c>
      <c r="AN72" t="inlineStr">
        <is>
          <t>Macroregiunea Trei</t>
        </is>
      </c>
      <c r="AO72" t="inlineStr">
        <is>
          <t>RO31</t>
        </is>
      </c>
      <c r="AP72" t="inlineStr">
        <is>
          <t>Sud-Muntenia</t>
        </is>
      </c>
      <c r="AQ72" t="inlineStr">
        <is>
          <t>RO316</t>
        </is>
      </c>
      <c r="AR72" t="inlineStr">
        <is>
          <t>Prahova</t>
        </is>
      </c>
      <c r="AS72" s="9" t="n">
        <v>6.8</v>
      </c>
      <c r="AT72" t="inlineStr">
        <is>
          <t>final</t>
        </is>
      </c>
      <c r="AU72" s="9" t="n"/>
      <c r="AV72" s="9" t="n"/>
    </row>
    <row r="73">
      <c r="A73" t="n">
        <v>2025</v>
      </c>
      <c r="B73" t="inlineStr">
        <is>
          <t>136483</t>
        </is>
      </c>
      <c r="C73" t="inlineStr">
        <is>
          <t>Satu Mare</t>
        </is>
      </c>
      <c r="D73" t="inlineStr">
        <is>
          <t>Satu Mare</t>
        </is>
      </c>
      <c r="E73" t="inlineStr">
        <is>
          <t>nu</t>
        </is>
      </c>
      <c r="F73" t="inlineStr">
        <is>
          <t>status_failed</t>
        </is>
      </c>
      <c r="H73" s="5" t="n"/>
      <c r="J73" s="6" t="n">
        <v>91520</v>
      </c>
      <c r="K73" t="inlineStr">
        <is>
          <t>2021-12-01</t>
        </is>
      </c>
      <c r="L73" s="7" t="n">
        <v>150.3</v>
      </c>
      <c r="M73" s="7">
        <f>IFERROR(J73/L73,"")</f>
        <v/>
      </c>
      <c r="N73" s="7" t="n"/>
      <c r="O73" s="7" t="n"/>
      <c r="P73" s="7">
        <f>IF(OR($E73&lt;&gt;"da",N73="",O73=""),"",N73-O73)</f>
        <v/>
      </c>
      <c r="Q73" s="7">
        <f>IF(OR($E73&lt;&gt;"da",N73=""),"",IFERROR(N73*1000/J73,""))</f>
        <v/>
      </c>
      <c r="R73" s="7">
        <f>IF(OR($E73&lt;&gt;"da",O73=""),"",IFERROR(O73*1000/J73,""))</f>
        <v/>
      </c>
      <c r="S73" s="7">
        <f>IF(OR($E73&lt;&gt;"da",P73=""),"",IFERROR(P73*1000/J73,""))</f>
        <v/>
      </c>
      <c r="T73" s="8" t="n"/>
      <c r="U73" s="8" t="n"/>
      <c r="V73" s="8" t="n"/>
      <c r="X73" s="7" t="n"/>
      <c r="Y73" s="7" t="n"/>
      <c r="Z73" s="7">
        <f>IF(OR(X73="",Y73=""),"",X73-Y73)</f>
        <v/>
      </c>
      <c r="AA73" s="7">
        <f>IF(OR($AJ73&lt;&gt;"da",X73=""),"",IFERROR(X73*1000/J73,""))</f>
        <v/>
      </c>
      <c r="AB73" s="7">
        <f>IF(OR($AJ73&lt;&gt;"da",Y73=""),"",IFERROR(Y73*1000/J73,""))</f>
        <v/>
      </c>
      <c r="AC73" s="7">
        <f>IF(OR($AJ73&lt;&gt;"da",Z73=""),"",IFERROR(Z73*1000/J73,""))</f>
        <v/>
      </c>
      <c r="AD73" s="8" t="n"/>
      <c r="AE73" s="8" t="n"/>
      <c r="AF73" s="9" t="n"/>
      <c r="AG73" s="9" t="n"/>
      <c r="AH73" s="9" t="n"/>
      <c r="AI73" s="9" t="n"/>
      <c r="AJ73" t="inlineStr">
        <is>
          <t>nu</t>
        </is>
      </c>
      <c r="AK73" t="inlineStr">
        <is>
          <t>executie_lipsa</t>
        </is>
      </c>
      <c r="AL73" t="inlineStr">
        <is>
          <t>NUTS 2024</t>
        </is>
      </c>
      <c r="AM73" t="inlineStr">
        <is>
          <t>RO1</t>
        </is>
      </c>
      <c r="AN73" t="inlineStr">
        <is>
          <t>Macroregiunea Unu</t>
        </is>
      </c>
      <c r="AO73" t="inlineStr">
        <is>
          <t>RO11</t>
        </is>
      </c>
      <c r="AP73" t="inlineStr">
        <is>
          <t>Nord-Vest</t>
        </is>
      </c>
      <c r="AQ73" t="inlineStr">
        <is>
          <t>RO115</t>
        </is>
      </c>
      <c r="AR73" t="inlineStr">
        <is>
          <t>Satu Mare</t>
        </is>
      </c>
      <c r="AS73" s="9" t="n">
        <v>6.8</v>
      </c>
      <c r="AT73" t="inlineStr">
        <is>
          <t>final</t>
        </is>
      </c>
      <c r="AU73" s="9" t="n"/>
      <c r="AV73" s="9" t="n"/>
    </row>
    <row r="74">
      <c r="A74" t="n">
        <v>2025</v>
      </c>
      <c r="B74" t="inlineStr">
        <is>
          <t>139704</t>
        </is>
      </c>
      <c r="C74" t="inlineStr">
        <is>
          <t>Zalău</t>
        </is>
      </c>
      <c r="D74" t="inlineStr">
        <is>
          <t>Sălaj</t>
        </is>
      </c>
      <c r="E74" t="inlineStr">
        <is>
          <t>nu</t>
        </is>
      </c>
      <c r="F74" t="inlineStr">
        <is>
          <t>total_cheltuieli_lipsa</t>
        </is>
      </c>
      <c r="G74" t="inlineStr">
        <is>
          <t>verified</t>
        </is>
      </c>
      <c r="H74" s="5" t="n">
        <v>65.59999999999999</v>
      </c>
      <c r="I74" t="inlineStr">
        <is>
          <t>nu</t>
        </is>
      </c>
      <c r="J74" s="6" t="n">
        <v>52359</v>
      </c>
      <c r="K74" t="inlineStr">
        <is>
          <t>2021-12-01</t>
        </is>
      </c>
      <c r="L74" s="7" t="n">
        <v>90.09</v>
      </c>
      <c r="M74" s="7">
        <f>IFERROR(J74/L74,"")</f>
        <v/>
      </c>
      <c r="N74" s="7" t="n">
        <v>419146.32</v>
      </c>
      <c r="O74" s="7" t="n"/>
      <c r="P74" s="7">
        <f>IF(OR($E74&lt;&gt;"da",N74="",O74=""),"",N74-O74)</f>
        <v/>
      </c>
      <c r="Q74" s="7">
        <f>IF(OR($E74&lt;&gt;"da",N74=""),"",IFERROR(N74*1000/J74,""))</f>
        <v/>
      </c>
      <c r="R74" s="7">
        <f>IF(OR($E74&lt;&gt;"da",O74=""),"",IFERROR(O74*1000/J74,""))</f>
        <v/>
      </c>
      <c r="S74" s="7">
        <f>IF(OR($E74&lt;&gt;"da",P74=""),"",IFERROR(P74*1000/J74,""))</f>
        <v/>
      </c>
      <c r="T74" s="8" t="n"/>
      <c r="U74" s="8" t="n"/>
      <c r="V74" s="8" t="n"/>
      <c r="X74" s="7" t="n"/>
      <c r="Y74" s="7" t="n"/>
      <c r="Z74" s="7">
        <f>IF(OR(X74="",Y74=""),"",X74-Y74)</f>
        <v/>
      </c>
      <c r="AA74" s="7">
        <f>IF(OR($AJ74&lt;&gt;"da",X74=""),"",IFERROR(X74*1000/J74,""))</f>
        <v/>
      </c>
      <c r="AB74" s="7">
        <f>IF(OR($AJ74&lt;&gt;"da",Y74=""),"",IFERROR(Y74*1000/J74,""))</f>
        <v/>
      </c>
      <c r="AC74" s="7">
        <f>IF(OR($AJ74&lt;&gt;"da",Z74=""),"",IFERROR(Z74*1000/J74,""))</f>
        <v/>
      </c>
      <c r="AD74" s="8" t="n"/>
      <c r="AE74" s="8" t="n"/>
      <c r="AF74" s="9" t="n"/>
      <c r="AG74" s="9" t="n"/>
      <c r="AH74" s="9" t="n"/>
      <c r="AI74" s="9" t="n"/>
      <c r="AJ74" t="inlineStr">
        <is>
          <t>nu</t>
        </is>
      </c>
      <c r="AK74" t="inlineStr">
        <is>
          <t>executie_lipsa</t>
        </is>
      </c>
      <c r="AL74" t="inlineStr">
        <is>
          <t>NUTS 2024</t>
        </is>
      </c>
      <c r="AM74" t="inlineStr">
        <is>
          <t>RO1</t>
        </is>
      </c>
      <c r="AN74" t="inlineStr">
        <is>
          <t>Macroregiunea Unu</t>
        </is>
      </c>
      <c r="AO74" t="inlineStr">
        <is>
          <t>RO11</t>
        </is>
      </c>
      <c r="AP74" t="inlineStr">
        <is>
          <t>Nord-Vest</t>
        </is>
      </c>
      <c r="AQ74" t="inlineStr">
        <is>
          <t>RO116</t>
        </is>
      </c>
      <c r="AR74" t="inlineStr">
        <is>
          <t>Sălaj</t>
        </is>
      </c>
      <c r="AS74" s="9" t="n">
        <v>6.8</v>
      </c>
      <c r="AT74" t="inlineStr">
        <is>
          <t>final</t>
        </is>
      </c>
      <c r="AU74" s="9" t="n"/>
      <c r="AV74" s="9" t="n"/>
    </row>
    <row r="75">
      <c r="A75" t="n">
        <v>2025</v>
      </c>
      <c r="B75" t="inlineStr">
        <is>
          <t>143450</t>
        </is>
      </c>
      <c r="C75" t="inlineStr">
        <is>
          <t>Sibiu</t>
        </is>
      </c>
      <c r="D75" t="inlineStr">
        <is>
          <t>Sibiu</t>
        </is>
      </c>
      <c r="E75" t="inlineStr">
        <is>
          <t>nu</t>
        </is>
      </c>
      <c r="F75" t="inlineStr">
        <is>
          <t>total_cheltuieli_lipsa</t>
        </is>
      </c>
      <c r="G75" t="inlineStr">
        <is>
          <t>verified</t>
        </is>
      </c>
      <c r="H75" s="5" t="n">
        <v>70.59999999999999</v>
      </c>
      <c r="I75" t="inlineStr">
        <is>
          <t>nu</t>
        </is>
      </c>
      <c r="J75" s="6" t="n">
        <v>134309</v>
      </c>
      <c r="K75" t="inlineStr">
        <is>
          <t>2021-12-01</t>
        </is>
      </c>
      <c r="L75" s="7" t="n">
        <v>121</v>
      </c>
      <c r="M75" s="7">
        <f>IFERROR(J75/L75,"")</f>
        <v/>
      </c>
      <c r="N75" s="7" t="n"/>
      <c r="O75" s="7" t="n"/>
      <c r="P75" s="7">
        <f>IF(OR($E75&lt;&gt;"da",N75="",O75=""),"",N75-O75)</f>
        <v/>
      </c>
      <c r="Q75" s="7">
        <f>IF(OR($E75&lt;&gt;"da",N75=""),"",IFERROR(N75*1000/J75,""))</f>
        <v/>
      </c>
      <c r="R75" s="7">
        <f>IF(OR($E75&lt;&gt;"da",O75=""),"",IFERROR(O75*1000/J75,""))</f>
        <v/>
      </c>
      <c r="S75" s="7">
        <f>IF(OR($E75&lt;&gt;"da",P75=""),"",IFERROR(P75*1000/J75,""))</f>
        <v/>
      </c>
      <c r="T75" s="8" t="n"/>
      <c r="U75" s="8" t="n"/>
      <c r="V75" s="8" t="n"/>
      <c r="X75" s="7" t="n"/>
      <c r="Y75" s="7" t="n"/>
      <c r="Z75" s="7">
        <f>IF(OR(X75="",Y75=""),"",X75-Y75)</f>
        <v/>
      </c>
      <c r="AA75" s="7">
        <f>IF(OR($AJ75&lt;&gt;"da",X75=""),"",IFERROR(X75*1000/J75,""))</f>
        <v/>
      </c>
      <c r="AB75" s="7">
        <f>IF(OR($AJ75&lt;&gt;"da",Y75=""),"",IFERROR(Y75*1000/J75,""))</f>
        <v/>
      </c>
      <c r="AC75" s="7">
        <f>IF(OR($AJ75&lt;&gt;"da",Z75=""),"",IFERROR(Z75*1000/J75,""))</f>
        <v/>
      </c>
      <c r="AD75" s="8" t="n"/>
      <c r="AE75" s="8" t="n"/>
      <c r="AF75" s="9" t="n"/>
      <c r="AG75" s="9" t="n"/>
      <c r="AH75" s="9" t="n"/>
      <c r="AI75" s="9" t="n"/>
      <c r="AJ75" t="inlineStr">
        <is>
          <t>nu</t>
        </is>
      </c>
      <c r="AK75" t="inlineStr">
        <is>
          <t>executie_lipsa</t>
        </is>
      </c>
      <c r="AL75" t="inlineStr">
        <is>
          <t>NUTS 2024</t>
        </is>
      </c>
      <c r="AM75" t="inlineStr">
        <is>
          <t>RO1</t>
        </is>
      </c>
      <c r="AN75" t="inlineStr">
        <is>
          <t>Macroregiunea Unu</t>
        </is>
      </c>
      <c r="AO75" t="inlineStr">
        <is>
          <t>RO12</t>
        </is>
      </c>
      <c r="AP75" t="inlineStr">
        <is>
          <t>Centru</t>
        </is>
      </c>
      <c r="AQ75" t="inlineStr">
        <is>
          <t>RO126</t>
        </is>
      </c>
      <c r="AR75" t="inlineStr">
        <is>
          <t>Sibiu</t>
        </is>
      </c>
      <c r="AS75" s="9" t="n">
        <v>6.8</v>
      </c>
      <c r="AT75" t="inlineStr">
        <is>
          <t>final</t>
        </is>
      </c>
      <c r="AU75" s="9" t="n"/>
      <c r="AV75" s="9" t="n"/>
    </row>
    <row r="76">
      <c r="A76" t="n">
        <v>2025</v>
      </c>
      <c r="B76" t="inlineStr">
        <is>
          <t>146263</t>
        </is>
      </c>
      <c r="C76" t="inlineStr">
        <is>
          <t>Suceava</t>
        </is>
      </c>
      <c r="D76" t="inlineStr">
        <is>
          <t>Suceava</t>
        </is>
      </c>
      <c r="E76" t="inlineStr">
        <is>
          <t>nu</t>
        </is>
      </c>
      <c r="F76" t="inlineStr">
        <is>
          <t>total_cheltuieli_lipsa</t>
        </is>
      </c>
      <c r="G76" t="inlineStr">
        <is>
          <t>verified</t>
        </is>
      </c>
      <c r="H76" s="5" t="n">
        <v>93.8</v>
      </c>
      <c r="I76" t="inlineStr">
        <is>
          <t>nu</t>
        </is>
      </c>
      <c r="J76" s="6" t="n">
        <v>84322</v>
      </c>
      <c r="K76" t="inlineStr">
        <is>
          <t>2021-12-01</t>
        </is>
      </c>
      <c r="L76" s="7" t="n">
        <v>52</v>
      </c>
      <c r="M76" s="7">
        <f>IFERROR(J76/L76,"")</f>
        <v/>
      </c>
      <c r="N76" s="7" t="n">
        <v>762549.39</v>
      </c>
      <c r="O76" s="7" t="n"/>
      <c r="P76" s="7">
        <f>IF(OR($E76&lt;&gt;"da",N76="",O76=""),"",N76-O76)</f>
        <v/>
      </c>
      <c r="Q76" s="7">
        <f>IF(OR($E76&lt;&gt;"da",N76=""),"",IFERROR(N76*1000/J76,""))</f>
        <v/>
      </c>
      <c r="R76" s="7">
        <f>IF(OR($E76&lt;&gt;"da",O76=""),"",IFERROR(O76*1000/J76,""))</f>
        <v/>
      </c>
      <c r="S76" s="7">
        <f>IF(OR($E76&lt;&gt;"da",P76=""),"",IFERROR(P76*1000/J76,""))</f>
        <v/>
      </c>
      <c r="T76" s="8" t="n"/>
      <c r="U76" s="8" t="n"/>
      <c r="V76" s="8" t="n"/>
      <c r="X76" s="7" t="n"/>
      <c r="Y76" s="7" t="n"/>
      <c r="Z76" s="7">
        <f>IF(OR(X76="",Y76=""),"",X76-Y76)</f>
        <v/>
      </c>
      <c r="AA76" s="7">
        <f>IF(OR($AJ76&lt;&gt;"da",X76=""),"",IFERROR(X76*1000/J76,""))</f>
        <v/>
      </c>
      <c r="AB76" s="7">
        <f>IF(OR($AJ76&lt;&gt;"da",Y76=""),"",IFERROR(Y76*1000/J76,""))</f>
        <v/>
      </c>
      <c r="AC76" s="7">
        <f>IF(OR($AJ76&lt;&gt;"da",Z76=""),"",IFERROR(Z76*1000/J76,""))</f>
        <v/>
      </c>
      <c r="AD76" s="8" t="n"/>
      <c r="AE76" s="8" t="n"/>
      <c r="AF76" s="9" t="n"/>
      <c r="AG76" s="9" t="n"/>
      <c r="AH76" s="9" t="n"/>
      <c r="AI76" s="9" t="n"/>
      <c r="AJ76" t="inlineStr">
        <is>
          <t>nu</t>
        </is>
      </c>
      <c r="AK76" t="inlineStr">
        <is>
          <t>executie_lipsa</t>
        </is>
      </c>
      <c r="AL76" t="inlineStr">
        <is>
          <t>NUTS 2024</t>
        </is>
      </c>
      <c r="AM76" t="inlineStr">
        <is>
          <t>RO2</t>
        </is>
      </c>
      <c r="AN76" t="inlineStr">
        <is>
          <t>Macroregiunea Doi</t>
        </is>
      </c>
      <c r="AO76" t="inlineStr">
        <is>
          <t>RO21</t>
        </is>
      </c>
      <c r="AP76" t="inlineStr">
        <is>
          <t>Nord-Est</t>
        </is>
      </c>
      <c r="AQ76" t="inlineStr">
        <is>
          <t>RO215</t>
        </is>
      </c>
      <c r="AR76" t="inlineStr">
        <is>
          <t>Suceava</t>
        </is>
      </c>
      <c r="AS76" s="9" t="n">
        <v>6.8</v>
      </c>
      <c r="AT76" t="inlineStr">
        <is>
          <t>final</t>
        </is>
      </c>
      <c r="AU76" s="9" t="n"/>
      <c r="AV76" s="9" t="n"/>
    </row>
    <row r="77">
      <c r="A77" t="n">
        <v>2025</v>
      </c>
      <c r="B77" t="inlineStr">
        <is>
          <t>151790</t>
        </is>
      </c>
      <c r="C77" t="inlineStr">
        <is>
          <t>Alexandria</t>
        </is>
      </c>
      <c r="D77" t="inlineStr">
        <is>
          <t>Teleorman</t>
        </is>
      </c>
      <c r="E77" t="inlineStr">
        <is>
          <t>da</t>
        </is>
      </c>
      <c r="G77" t="inlineStr">
        <is>
          <t>verified</t>
        </is>
      </c>
      <c r="H77" s="5" t="n">
        <v>95.3</v>
      </c>
      <c r="I77" t="inlineStr">
        <is>
          <t>nu</t>
        </is>
      </c>
      <c r="J77" s="6" t="n">
        <v>40390</v>
      </c>
      <c r="K77" t="inlineStr">
        <is>
          <t>2021-12-01</t>
        </is>
      </c>
      <c r="L77" s="7" t="n">
        <v>9.56</v>
      </c>
      <c r="M77" s="7">
        <f>IFERROR(J77/L77,"")</f>
        <v/>
      </c>
      <c r="N77" s="7" t="n"/>
      <c r="O77" s="7" t="n">
        <v>358888.79</v>
      </c>
      <c r="P77" s="7">
        <f>IF(OR($E77&lt;&gt;"da",N77="",O77=""),"",N77-O77)</f>
        <v/>
      </c>
      <c r="Q77" s="7">
        <f>IF(OR($E77&lt;&gt;"da",N77=""),"",IFERROR(N77*1000/J77,""))</f>
        <v/>
      </c>
      <c r="R77" s="7">
        <f>IF(OR($E77&lt;&gt;"da",O77=""),"",IFERROR(O77*1000/J77,""))</f>
        <v/>
      </c>
      <c r="S77" s="7">
        <f>IF(OR($E77&lt;&gt;"da",P77=""),"",IFERROR(P77*1000/J77,""))</f>
        <v/>
      </c>
      <c r="T77" s="8" t="n">
        <v>5</v>
      </c>
      <c r="U77" s="8" t="n">
        <v>14</v>
      </c>
      <c r="V77" s="8" t="n"/>
      <c r="X77" s="7" t="n"/>
      <c r="Y77" s="7" t="n"/>
      <c r="Z77" s="7">
        <f>IF(OR(X77="",Y77=""),"",X77-Y77)</f>
        <v/>
      </c>
      <c r="AA77" s="7">
        <f>IF(OR($AJ77&lt;&gt;"da",X77=""),"",IFERROR(X77*1000/J77,""))</f>
        <v/>
      </c>
      <c r="AB77" s="7">
        <f>IF(OR($AJ77&lt;&gt;"da",Y77=""),"",IFERROR(Y77*1000/J77,""))</f>
        <v/>
      </c>
      <c r="AC77" s="7">
        <f>IF(OR($AJ77&lt;&gt;"da",Z77=""),"",IFERROR(Z77*1000/J77,""))</f>
        <v/>
      </c>
      <c r="AD77" s="8" t="n"/>
      <c r="AE77" s="8" t="n"/>
      <c r="AF77" s="9" t="n"/>
      <c r="AG77" s="9" t="n"/>
      <c r="AH77" s="9" t="n"/>
      <c r="AI77" s="9" t="n">
        <v>-17.76</v>
      </c>
      <c r="AJ77" t="inlineStr">
        <is>
          <t>nu</t>
        </is>
      </c>
      <c r="AK77" t="inlineStr">
        <is>
          <t>executie_lipsa</t>
        </is>
      </c>
      <c r="AL77" t="inlineStr">
        <is>
          <t>NUTS 2024</t>
        </is>
      </c>
      <c r="AM77" t="inlineStr">
        <is>
          <t>RO3</t>
        </is>
      </c>
      <c r="AN77" t="inlineStr">
        <is>
          <t>Macroregiunea Trei</t>
        </is>
      </c>
      <c r="AO77" t="inlineStr">
        <is>
          <t>RO31</t>
        </is>
      </c>
      <c r="AP77" t="inlineStr">
        <is>
          <t>Sud-Muntenia</t>
        </is>
      </c>
      <c r="AQ77" t="inlineStr">
        <is>
          <t>RO317</t>
        </is>
      </c>
      <c r="AR77" t="inlineStr">
        <is>
          <t>Teleorman</t>
        </is>
      </c>
      <c r="AS77" s="9" t="n">
        <v>6.8</v>
      </c>
      <c r="AT77" t="inlineStr">
        <is>
          <t>final</t>
        </is>
      </c>
      <c r="AU77" s="9" t="n"/>
      <c r="AV77" s="9" t="n">
        <v>-23</v>
      </c>
    </row>
    <row r="78">
      <c r="A78" t="n">
        <v>2025</v>
      </c>
      <c r="B78" t="inlineStr">
        <is>
          <t>155243</t>
        </is>
      </c>
      <c r="C78" t="inlineStr">
        <is>
          <t>Timișoara</t>
        </is>
      </c>
      <c r="D78" t="inlineStr">
        <is>
          <t>Timiș</t>
        </is>
      </c>
      <c r="E78" t="inlineStr">
        <is>
          <t>nu</t>
        </is>
      </c>
      <c r="F78" t="inlineStr">
        <is>
          <t>total_cheltuieli_lipsa</t>
        </is>
      </c>
      <c r="G78" t="inlineStr">
        <is>
          <t>verified</t>
        </is>
      </c>
      <c r="H78" s="5" t="n">
        <v>78.3</v>
      </c>
      <c r="I78" t="inlineStr">
        <is>
          <t>nu</t>
        </is>
      </c>
      <c r="J78" s="6" t="n">
        <v>250849</v>
      </c>
      <c r="K78" t="inlineStr">
        <is>
          <t>2021-12-01</t>
        </is>
      </c>
      <c r="L78" s="7" t="n">
        <v>130.5</v>
      </c>
      <c r="M78" s="7">
        <f>IFERROR(J78/L78,"")</f>
        <v/>
      </c>
      <c r="N78" s="7" t="n">
        <v>2388257.76</v>
      </c>
      <c r="O78" s="7" t="n"/>
      <c r="P78" s="7">
        <f>IF(OR($E78&lt;&gt;"da",N78="",O78=""),"",N78-O78)</f>
        <v/>
      </c>
      <c r="Q78" s="7">
        <f>IF(OR($E78&lt;&gt;"da",N78=""),"",IFERROR(N78*1000/J78,""))</f>
        <v/>
      </c>
      <c r="R78" s="7">
        <f>IF(OR($E78&lt;&gt;"da",O78=""),"",IFERROR(O78*1000/J78,""))</f>
        <v/>
      </c>
      <c r="S78" s="7">
        <f>IF(OR($E78&lt;&gt;"da",P78=""),"",IFERROR(P78*1000/J78,""))</f>
        <v/>
      </c>
      <c r="T78" s="8" t="n"/>
      <c r="U78" s="8" t="n"/>
      <c r="V78" s="8" t="n"/>
      <c r="X78" s="7" t="n"/>
      <c r="Y78" s="7" t="n"/>
      <c r="Z78" s="7">
        <f>IF(OR(X78="",Y78=""),"",X78-Y78)</f>
        <v/>
      </c>
      <c r="AA78" s="7">
        <f>IF(OR($AJ78&lt;&gt;"da",X78=""),"",IFERROR(X78*1000/J78,""))</f>
        <v/>
      </c>
      <c r="AB78" s="7">
        <f>IF(OR($AJ78&lt;&gt;"da",Y78=""),"",IFERROR(Y78*1000/J78,""))</f>
        <v/>
      </c>
      <c r="AC78" s="7">
        <f>IF(OR($AJ78&lt;&gt;"da",Z78=""),"",IFERROR(Z78*1000/J78,""))</f>
        <v/>
      </c>
      <c r="AD78" s="8" t="n"/>
      <c r="AE78" s="8" t="n"/>
      <c r="AF78" s="9" t="n"/>
      <c r="AG78" s="9" t="n"/>
      <c r="AH78" s="9" t="n"/>
      <c r="AI78" s="9" t="n"/>
      <c r="AJ78" t="inlineStr">
        <is>
          <t>nu</t>
        </is>
      </c>
      <c r="AK78" t="inlineStr">
        <is>
          <t>executie_lipsa</t>
        </is>
      </c>
      <c r="AL78" t="inlineStr">
        <is>
          <t>NUTS 2024</t>
        </is>
      </c>
      <c r="AM78" t="inlineStr">
        <is>
          <t>RO4</t>
        </is>
      </c>
      <c r="AN78" t="inlineStr">
        <is>
          <t>Macroregiunea Patru</t>
        </is>
      </c>
      <c r="AO78" t="inlineStr">
        <is>
          <t>RO42</t>
        </is>
      </c>
      <c r="AP78" t="inlineStr">
        <is>
          <t>Vest</t>
        </is>
      </c>
      <c r="AQ78" t="inlineStr">
        <is>
          <t>RO424</t>
        </is>
      </c>
      <c r="AR78" t="inlineStr">
        <is>
          <t>Timiș</t>
        </is>
      </c>
      <c r="AS78" s="9" t="n">
        <v>6.8</v>
      </c>
      <c r="AT78" t="inlineStr">
        <is>
          <t>final</t>
        </is>
      </c>
      <c r="AU78" s="9" t="n"/>
      <c r="AV78" s="9" t="n"/>
    </row>
    <row r="79">
      <c r="A79" t="n">
        <v>2025</v>
      </c>
      <c r="B79" t="inlineStr">
        <is>
          <t>159614</t>
        </is>
      </c>
      <c r="C79" t="inlineStr">
        <is>
          <t>Tulcea</t>
        </is>
      </c>
      <c r="D79" t="inlineStr">
        <is>
          <t>Tulcea</t>
        </is>
      </c>
      <c r="E79" t="inlineStr">
        <is>
          <t>nu</t>
        </is>
      </c>
      <c r="F79" t="inlineStr">
        <is>
          <t>total_cheltuieli_lipsa</t>
        </is>
      </c>
      <c r="G79" t="inlineStr">
        <is>
          <t>verified</t>
        </is>
      </c>
      <c r="H79" s="5" t="n">
        <v>90</v>
      </c>
      <c r="I79" t="inlineStr">
        <is>
          <t>nu</t>
        </is>
      </c>
      <c r="J79" s="6" t="n">
        <v>65624</v>
      </c>
      <c r="K79" t="inlineStr">
        <is>
          <t>2021-12-01</t>
        </is>
      </c>
      <c r="L79" s="7" t="n">
        <v>199.94</v>
      </c>
      <c r="M79" s="7">
        <f>IFERROR(J79/L79,"")</f>
        <v/>
      </c>
      <c r="N79" s="7" t="n"/>
      <c r="O79" s="7" t="n"/>
      <c r="P79" s="7">
        <f>IF(OR($E79&lt;&gt;"da",N79="",O79=""),"",N79-O79)</f>
        <v/>
      </c>
      <c r="Q79" s="7">
        <f>IF(OR($E79&lt;&gt;"da",N79=""),"",IFERROR(N79*1000/J79,""))</f>
        <v/>
      </c>
      <c r="R79" s="7">
        <f>IF(OR($E79&lt;&gt;"da",O79=""),"",IFERROR(O79*1000/J79,""))</f>
        <v/>
      </c>
      <c r="S79" s="7">
        <f>IF(OR($E79&lt;&gt;"da",P79=""),"",IFERROR(P79*1000/J79,""))</f>
        <v/>
      </c>
      <c r="T79" s="8" t="n"/>
      <c r="U79" s="8" t="n"/>
      <c r="V79" s="8" t="n"/>
      <c r="X79" s="7" t="n"/>
      <c r="Y79" s="7" t="n"/>
      <c r="Z79" s="7">
        <f>IF(OR(X79="",Y79=""),"",X79-Y79)</f>
        <v/>
      </c>
      <c r="AA79" s="7">
        <f>IF(OR($AJ79&lt;&gt;"da",X79=""),"",IFERROR(X79*1000/J79,""))</f>
        <v/>
      </c>
      <c r="AB79" s="7">
        <f>IF(OR($AJ79&lt;&gt;"da",Y79=""),"",IFERROR(Y79*1000/J79,""))</f>
        <v/>
      </c>
      <c r="AC79" s="7">
        <f>IF(OR($AJ79&lt;&gt;"da",Z79=""),"",IFERROR(Z79*1000/J79,""))</f>
        <v/>
      </c>
      <c r="AD79" s="8" t="n"/>
      <c r="AE79" s="8" t="n"/>
      <c r="AF79" s="9" t="n"/>
      <c r="AG79" s="9" t="n"/>
      <c r="AH79" s="9" t="n"/>
      <c r="AI79" s="9" t="n"/>
      <c r="AJ79" t="inlineStr">
        <is>
          <t>nu</t>
        </is>
      </c>
      <c r="AK79" t="inlineStr">
        <is>
          <t>executie_lipsa</t>
        </is>
      </c>
      <c r="AL79" t="inlineStr">
        <is>
          <t>NUTS 2024</t>
        </is>
      </c>
      <c r="AM79" t="inlineStr">
        <is>
          <t>RO2</t>
        </is>
      </c>
      <c r="AN79" t="inlineStr">
        <is>
          <t>Macroregiunea Doi</t>
        </is>
      </c>
      <c r="AO79" t="inlineStr">
        <is>
          <t>RO22</t>
        </is>
      </c>
      <c r="AP79" t="inlineStr">
        <is>
          <t>Sud-Est</t>
        </is>
      </c>
      <c r="AQ79" t="inlineStr">
        <is>
          <t>RO225</t>
        </is>
      </c>
      <c r="AR79" t="inlineStr">
        <is>
          <t>Tulcea</t>
        </is>
      </c>
      <c r="AS79" s="9" t="n">
        <v>6.8</v>
      </c>
      <c r="AT79" t="inlineStr">
        <is>
          <t>final</t>
        </is>
      </c>
      <c r="AU79" s="9" t="n"/>
      <c r="AV79" s="9" t="n"/>
    </row>
    <row r="80">
      <c r="A80" t="n">
        <v>2025</v>
      </c>
      <c r="B80" t="inlineStr">
        <is>
          <t>161945</t>
        </is>
      </c>
      <c r="C80" t="inlineStr">
        <is>
          <t>Vaslui</t>
        </is>
      </c>
      <c r="D80" t="inlineStr">
        <is>
          <t>Vaslui</t>
        </is>
      </c>
      <c r="E80" t="inlineStr">
        <is>
          <t>da</t>
        </is>
      </c>
      <c r="G80" t="inlineStr">
        <is>
          <t>verified</t>
        </is>
      </c>
      <c r="H80" s="5" t="n">
        <v>45.4</v>
      </c>
      <c r="I80" t="inlineStr">
        <is>
          <t>nu</t>
        </is>
      </c>
      <c r="J80" s="6" t="n">
        <v>63035</v>
      </c>
      <c r="K80" t="inlineStr">
        <is>
          <t>2021-12-01</t>
        </is>
      </c>
      <c r="L80" s="7" t="n">
        <v>68</v>
      </c>
      <c r="M80" s="7">
        <f>IFERROR(J80/L80,"")</f>
        <v/>
      </c>
      <c r="N80" s="7" t="n">
        <v>410246.406</v>
      </c>
      <c r="O80" s="7" t="n">
        <v>463645.776</v>
      </c>
      <c r="P80" s="7">
        <f>IF(OR($E80&lt;&gt;"da",N80="",O80=""),"",N80-O80)</f>
        <v/>
      </c>
      <c r="Q80" s="7">
        <f>IF(OR($E80&lt;&gt;"da",N80=""),"",IFERROR(N80*1000/J80,""))</f>
        <v/>
      </c>
      <c r="R80" s="7">
        <f>IF(OR($E80&lt;&gt;"da",O80=""),"",IFERROR(O80*1000/J80,""))</f>
        <v/>
      </c>
      <c r="S80" s="7">
        <f>IF(OR($E80&lt;&gt;"da",P80=""),"",IFERROR(P80*1000/J80,""))</f>
        <v/>
      </c>
      <c r="T80" s="8" t="n">
        <v>9</v>
      </c>
      <c r="U80" s="8" t="n">
        <v>14</v>
      </c>
      <c r="V80" s="8" t="n"/>
      <c r="X80" s="7" t="n"/>
      <c r="Y80" s="7" t="n"/>
      <c r="Z80" s="7">
        <f>IF(OR(X80="",Y80=""),"",X80-Y80)</f>
        <v/>
      </c>
      <c r="AA80" s="7">
        <f>IF(OR($AJ80&lt;&gt;"da",X80=""),"",IFERROR(X80*1000/J80,""))</f>
        <v/>
      </c>
      <c r="AB80" s="7">
        <f>IF(OR($AJ80&lt;&gt;"da",Y80=""),"",IFERROR(Y80*1000/J80,""))</f>
        <v/>
      </c>
      <c r="AC80" s="7">
        <f>IF(OR($AJ80&lt;&gt;"da",Z80=""),"",IFERROR(Z80*1000/J80,""))</f>
        <v/>
      </c>
      <c r="AD80" s="8" t="n"/>
      <c r="AE80" s="8" t="n"/>
      <c r="AF80" s="9" t="n"/>
      <c r="AG80" s="9" t="n"/>
      <c r="AH80" s="9" t="n">
        <v>-8.699999999999999</v>
      </c>
      <c r="AI80" s="9" t="n">
        <v>-6.06</v>
      </c>
      <c r="AJ80" t="inlineStr">
        <is>
          <t>nu</t>
        </is>
      </c>
      <c r="AK80" t="inlineStr">
        <is>
          <t>executie_lipsa</t>
        </is>
      </c>
      <c r="AL80" t="inlineStr">
        <is>
          <t>NUTS 2024</t>
        </is>
      </c>
      <c r="AM80" t="inlineStr">
        <is>
          <t>RO2</t>
        </is>
      </c>
      <c r="AN80" t="inlineStr">
        <is>
          <t>Macroregiunea Doi</t>
        </is>
      </c>
      <c r="AO80" t="inlineStr">
        <is>
          <t>RO21</t>
        </is>
      </c>
      <c r="AP80" t="inlineStr">
        <is>
          <t>Nord-Est</t>
        </is>
      </c>
      <c r="AQ80" t="inlineStr">
        <is>
          <t>RO216</t>
        </is>
      </c>
      <c r="AR80" t="inlineStr">
        <is>
          <t>Vaslui</t>
        </is>
      </c>
      <c r="AS80" s="9" t="n">
        <v>6.8</v>
      </c>
      <c r="AT80" t="inlineStr">
        <is>
          <t>final</t>
        </is>
      </c>
      <c r="AU80" s="9" t="n">
        <v>-14.51</v>
      </c>
      <c r="AV80" s="9" t="n">
        <v>-12.04</v>
      </c>
    </row>
    <row r="81">
      <c r="A81" t="n">
        <v>2025</v>
      </c>
      <c r="B81" t="inlineStr">
        <is>
          <t>167473</t>
        </is>
      </c>
      <c r="C81" t="inlineStr">
        <is>
          <t>Râmnicu Vâlcea</t>
        </is>
      </c>
      <c r="D81" t="inlineStr">
        <is>
          <t>Vâlcea</t>
        </is>
      </c>
      <c r="E81" t="inlineStr">
        <is>
          <t>da</t>
        </is>
      </c>
      <c r="G81" t="inlineStr">
        <is>
          <t>verified</t>
        </is>
      </c>
      <c r="H81" s="5" t="n">
        <v>65.3</v>
      </c>
      <c r="I81" t="inlineStr">
        <is>
          <t>nu</t>
        </is>
      </c>
      <c r="J81" s="6" t="n">
        <v>93151</v>
      </c>
      <c r="K81" t="inlineStr">
        <is>
          <t>2021-12-01</t>
        </is>
      </c>
      <c r="L81" s="7" t="n">
        <v>89.52</v>
      </c>
      <c r="M81" s="7">
        <f>IFERROR(J81/L81,"")</f>
        <v/>
      </c>
      <c r="N81" s="7" t="n"/>
      <c r="O81" s="7" t="n">
        <v>632161.84</v>
      </c>
      <c r="P81" s="7">
        <f>IF(OR($E81&lt;&gt;"da",N81="",O81=""),"",N81-O81)</f>
        <v/>
      </c>
      <c r="Q81" s="7">
        <f>IF(OR($E81&lt;&gt;"da",N81=""),"",IFERROR(N81*1000/J81,""))</f>
        <v/>
      </c>
      <c r="R81" s="7">
        <f>IF(OR($E81&lt;&gt;"da",O81=""),"",IFERROR(O81*1000/J81,""))</f>
        <v/>
      </c>
      <c r="S81" s="7">
        <f>IF(OR($E81&lt;&gt;"da",P81=""),"",IFERROR(P81*1000/J81,""))</f>
        <v/>
      </c>
      <c r="T81" s="8" t="n">
        <v>10</v>
      </c>
      <c r="U81" s="8" t="n">
        <v>14</v>
      </c>
      <c r="V81" s="8" t="n"/>
      <c r="X81" s="7" t="n"/>
      <c r="Y81" s="7" t="n"/>
      <c r="Z81" s="7">
        <f>IF(OR(X81="",Y81=""),"",X81-Y81)</f>
        <v/>
      </c>
      <c r="AA81" s="7">
        <f>IF(OR($AJ81&lt;&gt;"da",X81=""),"",IFERROR(X81*1000/J81,""))</f>
        <v/>
      </c>
      <c r="AB81" s="7">
        <f>IF(OR($AJ81&lt;&gt;"da",Y81=""),"",IFERROR(Y81*1000/J81,""))</f>
        <v/>
      </c>
      <c r="AC81" s="7">
        <f>IF(OR($AJ81&lt;&gt;"da",Z81=""),"",IFERROR(Z81*1000/J81,""))</f>
        <v/>
      </c>
      <c r="AD81" s="8" t="n"/>
      <c r="AE81" s="8" t="n"/>
      <c r="AF81" s="9" t="n"/>
      <c r="AG81" s="9" t="n"/>
      <c r="AH81" s="9" t="n"/>
      <c r="AI81" s="9" t="n"/>
      <c r="AJ81" t="inlineStr">
        <is>
          <t>nu</t>
        </is>
      </c>
      <c r="AK81" t="inlineStr">
        <is>
          <t>executie_lipsa</t>
        </is>
      </c>
      <c r="AL81" t="inlineStr">
        <is>
          <t>NUTS 2024</t>
        </is>
      </c>
      <c r="AM81" t="inlineStr">
        <is>
          <t>RO4</t>
        </is>
      </c>
      <c r="AN81" t="inlineStr">
        <is>
          <t>Macroregiunea Patru</t>
        </is>
      </c>
      <c r="AO81" t="inlineStr">
        <is>
          <t>RO41</t>
        </is>
      </c>
      <c r="AP81" t="inlineStr">
        <is>
          <t>Sud-Vest Oltenia</t>
        </is>
      </c>
      <c r="AQ81" t="inlineStr">
        <is>
          <t>RO415</t>
        </is>
      </c>
      <c r="AR81" t="inlineStr">
        <is>
          <t>Vâlcea</t>
        </is>
      </c>
      <c r="AS81" s="9" t="n">
        <v>6.8</v>
      </c>
      <c r="AT81" t="inlineStr">
        <is>
          <t>final</t>
        </is>
      </c>
      <c r="AU81" s="9" t="n"/>
      <c r="AV81" s="9" t="n"/>
    </row>
    <row r="82">
      <c r="A82" t="n">
        <v>2025</v>
      </c>
      <c r="B82" t="inlineStr">
        <is>
          <t>174744</t>
        </is>
      </c>
      <c r="C82" t="inlineStr">
        <is>
          <t>Focșani</t>
        </is>
      </c>
      <c r="D82" t="inlineStr">
        <is>
          <t>Vrancea</t>
        </is>
      </c>
      <c r="E82" t="inlineStr">
        <is>
          <t>nu</t>
        </is>
      </c>
      <c r="F82" t="inlineStr">
        <is>
          <t>total_cheltuieli_lipsa</t>
        </is>
      </c>
      <c r="G82" t="inlineStr">
        <is>
          <t>verified</t>
        </is>
      </c>
      <c r="H82" s="5" t="n">
        <v>95.40000000000001</v>
      </c>
      <c r="I82" t="inlineStr">
        <is>
          <t>nu</t>
        </is>
      </c>
      <c r="J82" s="6" t="n">
        <v>66648</v>
      </c>
      <c r="K82" t="inlineStr">
        <is>
          <t>2021-12-01</t>
        </is>
      </c>
      <c r="L82" s="7" t="n">
        <v>54.8</v>
      </c>
      <c r="M82" s="7">
        <f>IFERROR(J82/L82,"")</f>
        <v/>
      </c>
      <c r="N82" s="7" t="n"/>
      <c r="O82" s="7" t="n"/>
      <c r="P82" s="7">
        <f>IF(OR($E82&lt;&gt;"da",N82="",O82=""),"",N82-O82)</f>
        <v/>
      </c>
      <c r="Q82" s="7">
        <f>IF(OR($E82&lt;&gt;"da",N82=""),"",IFERROR(N82*1000/J82,""))</f>
        <v/>
      </c>
      <c r="R82" s="7">
        <f>IF(OR($E82&lt;&gt;"da",O82=""),"",IFERROR(O82*1000/J82,""))</f>
        <v/>
      </c>
      <c r="S82" s="7">
        <f>IF(OR($E82&lt;&gt;"da",P82=""),"",IFERROR(P82*1000/J82,""))</f>
        <v/>
      </c>
      <c r="T82" s="8" t="n"/>
      <c r="U82" s="8" t="n"/>
      <c r="V82" s="8" t="n"/>
      <c r="X82" s="7" t="n"/>
      <c r="Y82" s="7" t="n"/>
      <c r="Z82" s="7">
        <f>IF(OR(X82="",Y82=""),"",X82-Y82)</f>
        <v/>
      </c>
      <c r="AA82" s="7">
        <f>IF(OR($AJ82&lt;&gt;"da",X82=""),"",IFERROR(X82*1000/J82,""))</f>
        <v/>
      </c>
      <c r="AB82" s="7">
        <f>IF(OR($AJ82&lt;&gt;"da",Y82=""),"",IFERROR(Y82*1000/J82,""))</f>
        <v/>
      </c>
      <c r="AC82" s="7">
        <f>IF(OR($AJ82&lt;&gt;"da",Z82=""),"",IFERROR(Z82*1000/J82,""))</f>
        <v/>
      </c>
      <c r="AD82" s="8" t="n"/>
      <c r="AE82" s="8" t="n"/>
      <c r="AF82" s="9" t="n"/>
      <c r="AG82" s="9" t="n"/>
      <c r="AH82" s="9" t="n"/>
      <c r="AI82" s="9" t="n"/>
      <c r="AJ82" t="inlineStr">
        <is>
          <t>nu</t>
        </is>
      </c>
      <c r="AK82" t="inlineStr">
        <is>
          <t>executie_lipsa</t>
        </is>
      </c>
      <c r="AL82" t="inlineStr">
        <is>
          <t>NUTS 2024</t>
        </is>
      </c>
      <c r="AM82" t="inlineStr">
        <is>
          <t>RO2</t>
        </is>
      </c>
      <c r="AN82" t="inlineStr">
        <is>
          <t>Macroregiunea Doi</t>
        </is>
      </c>
      <c r="AO82" t="inlineStr">
        <is>
          <t>RO22</t>
        </is>
      </c>
      <c r="AP82" t="inlineStr">
        <is>
          <t>Sud-Est</t>
        </is>
      </c>
      <c r="AQ82" t="inlineStr">
        <is>
          <t>RO226</t>
        </is>
      </c>
      <c r="AR82" t="inlineStr">
        <is>
          <t>Vrancea</t>
        </is>
      </c>
      <c r="AS82" s="9" t="n">
        <v>6.8</v>
      </c>
      <c r="AT82" t="inlineStr">
        <is>
          <t>final</t>
        </is>
      </c>
      <c r="AU82" s="9" t="n"/>
      <c r="AV82" s="9" t="n"/>
    </row>
    <row r="83">
      <c r="A83" t="n">
        <v>2025</v>
      </c>
      <c r="B83" t="inlineStr">
        <is>
          <t>179132</t>
        </is>
      </c>
      <c r="C83" t="inlineStr">
        <is>
          <t>București</t>
        </is>
      </c>
      <c r="D83" t="inlineStr">
        <is>
          <t>București</t>
        </is>
      </c>
      <c r="E83" t="inlineStr">
        <is>
          <t>nu</t>
        </is>
      </c>
      <c r="F83" t="inlineStr">
        <is>
          <t>total_cheltuieli_lipsa</t>
        </is>
      </c>
      <c r="G83" t="inlineStr">
        <is>
          <t>verified</t>
        </is>
      </c>
      <c r="H83" s="5" t="n">
        <v>0</v>
      </c>
      <c r="I83" t="inlineStr">
        <is>
          <t>nu</t>
        </is>
      </c>
      <c r="J83" s="6" t="n">
        <v>1716961</v>
      </c>
      <c r="K83" t="inlineStr">
        <is>
          <t>2021-12-01</t>
        </is>
      </c>
      <c r="L83" s="7" t="n">
        <v>226</v>
      </c>
      <c r="M83" s="7">
        <f>IFERROR(J83/L83,"")</f>
        <v/>
      </c>
      <c r="N83" s="7" t="n"/>
      <c r="O83" s="7" t="n"/>
      <c r="P83" s="7">
        <f>IF(OR($E83&lt;&gt;"da",N83="",O83=""),"",N83-O83)</f>
        <v/>
      </c>
      <c r="Q83" s="7">
        <f>IF(OR($E83&lt;&gt;"da",N83=""),"",IFERROR(N83*1000/J83,""))</f>
        <v/>
      </c>
      <c r="R83" s="7">
        <f>IF(OR($E83&lt;&gt;"da",O83=""),"",IFERROR(O83*1000/J83,""))</f>
        <v/>
      </c>
      <c r="S83" s="7">
        <f>IF(OR($E83&lt;&gt;"da",P83=""),"",IFERROR(P83*1000/J83,""))</f>
        <v/>
      </c>
      <c r="T83" s="8" t="n"/>
      <c r="U83" s="8" t="n"/>
      <c r="V83" s="8" t="n"/>
      <c r="X83" s="7" t="n"/>
      <c r="Y83" s="7" t="n"/>
      <c r="Z83" s="7">
        <f>IF(OR(X83="",Y83=""),"",X83-Y83)</f>
        <v/>
      </c>
      <c r="AA83" s="7">
        <f>IF(OR($AJ83&lt;&gt;"da",X83=""),"",IFERROR(X83*1000/J83,""))</f>
        <v/>
      </c>
      <c r="AB83" s="7">
        <f>IF(OR($AJ83&lt;&gt;"da",Y83=""),"",IFERROR(Y83*1000/J83,""))</f>
        <v/>
      </c>
      <c r="AC83" s="7">
        <f>IF(OR($AJ83&lt;&gt;"da",Z83=""),"",IFERROR(Z83*1000/J83,""))</f>
        <v/>
      </c>
      <c r="AD83" s="8" t="n"/>
      <c r="AE83" s="8" t="n"/>
      <c r="AF83" s="9" t="n"/>
      <c r="AG83" s="9" t="n"/>
      <c r="AH83" s="9" t="n"/>
      <c r="AI83" s="9" t="n"/>
      <c r="AJ83" t="inlineStr">
        <is>
          <t>nu</t>
        </is>
      </c>
      <c r="AK83" t="inlineStr">
        <is>
          <t>executie_lipsa</t>
        </is>
      </c>
      <c r="AL83" t="inlineStr">
        <is>
          <t>NUTS 2024</t>
        </is>
      </c>
      <c r="AM83" t="inlineStr">
        <is>
          <t>RO3</t>
        </is>
      </c>
      <c r="AN83" t="inlineStr">
        <is>
          <t>Macroregiunea Trei</t>
        </is>
      </c>
      <c r="AO83" t="inlineStr">
        <is>
          <t>RO32</t>
        </is>
      </c>
      <c r="AP83" t="inlineStr">
        <is>
          <t>București-Ilfov</t>
        </is>
      </c>
      <c r="AQ83" t="inlineStr">
        <is>
          <t>RO321</t>
        </is>
      </c>
      <c r="AR83" t="inlineStr">
        <is>
          <t>București</t>
        </is>
      </c>
      <c r="AS83" s="9" t="n">
        <v>6.8</v>
      </c>
      <c r="AT83" t="inlineStr">
        <is>
          <t>final</t>
        </is>
      </c>
      <c r="AU83" s="9" t="n"/>
      <c r="AV83" s="9" t="n"/>
    </row>
    <row r="84">
      <c r="A84" t="n">
        <v>2024</v>
      </c>
      <c r="B84" t="inlineStr">
        <is>
          <t>1017</t>
        </is>
      </c>
      <c r="C84" t="inlineStr">
        <is>
          <t>Alba Iulia</t>
        </is>
      </c>
      <c r="D84" t="inlineStr">
        <is>
          <t>Alba</t>
        </is>
      </c>
      <c r="E84" t="inlineStr">
        <is>
          <t>nu</t>
        </is>
      </c>
      <c r="F84" t="inlineStr">
        <is>
          <t>total_cheltuieli_lipsa</t>
        </is>
      </c>
      <c r="G84" t="inlineStr">
        <is>
          <t>verified</t>
        </is>
      </c>
      <c r="H84" s="5" t="n">
        <v>68.8</v>
      </c>
      <c r="I84" t="inlineStr">
        <is>
          <t>nu</t>
        </is>
      </c>
      <c r="J84" s="6" t="n">
        <v>64227</v>
      </c>
      <c r="K84" t="inlineStr">
        <is>
          <t>2021-12-01</t>
        </is>
      </c>
      <c r="L84" s="7" t="n">
        <v>103.65</v>
      </c>
      <c r="M84" s="7">
        <f>IFERROR(J84/L84,"")</f>
        <v/>
      </c>
      <c r="N84" s="7" t="n"/>
      <c r="O84" s="7" t="n"/>
      <c r="P84" s="7">
        <f>IF(OR($E84&lt;&gt;"da",N84="",O84=""),"",N84-O84)</f>
        <v/>
      </c>
      <c r="Q84" s="7">
        <f>IF(OR($E84&lt;&gt;"da",N84=""),"",IFERROR(N84*1000/J84,""))</f>
        <v/>
      </c>
      <c r="R84" s="7">
        <f>IF(OR($E84&lt;&gt;"da",O84=""),"",IFERROR(O84*1000/J84,""))</f>
        <v/>
      </c>
      <c r="S84" s="7">
        <f>IF(OR($E84&lt;&gt;"da",P84=""),"",IFERROR(P84*1000/J84,""))</f>
        <v/>
      </c>
      <c r="T84" s="8" t="n"/>
      <c r="U84" s="8" t="n"/>
      <c r="V84" s="8" t="n"/>
      <c r="X84" s="7" t="n"/>
      <c r="Y84" s="7" t="n"/>
      <c r="Z84" s="7">
        <f>IF(OR(X84="",Y84=""),"",X84-Y84)</f>
        <v/>
      </c>
      <c r="AA84" s="7">
        <f>IF(OR($AJ84&lt;&gt;"da",X84=""),"",IFERROR(X84*1000/J84,""))</f>
        <v/>
      </c>
      <c r="AB84" s="7">
        <f>IF(OR($AJ84&lt;&gt;"da",Y84=""),"",IFERROR(Y84*1000/J84,""))</f>
        <v/>
      </c>
      <c r="AC84" s="7">
        <f>IF(OR($AJ84&lt;&gt;"da",Z84=""),"",IFERROR(Z84*1000/J84,""))</f>
        <v/>
      </c>
      <c r="AD84" s="8" t="n"/>
      <c r="AE84" s="8" t="n"/>
      <c r="AF84" s="9" t="n"/>
      <c r="AG84" s="9" t="n"/>
      <c r="AH84" s="9" t="n"/>
      <c r="AI84" s="9" t="n"/>
      <c r="AJ84" t="inlineStr">
        <is>
          <t>nu</t>
        </is>
      </c>
      <c r="AK84" t="inlineStr">
        <is>
          <t>executie_lipsa</t>
        </is>
      </c>
      <c r="AL84" t="inlineStr">
        <is>
          <t>NUTS 2024</t>
        </is>
      </c>
      <c r="AM84" t="inlineStr">
        <is>
          <t>RO1</t>
        </is>
      </c>
      <c r="AN84" t="inlineStr">
        <is>
          <t>Macroregiunea Unu</t>
        </is>
      </c>
      <c r="AO84" t="inlineStr">
        <is>
          <t>RO12</t>
        </is>
      </c>
      <c r="AP84" t="inlineStr">
        <is>
          <t>Centru</t>
        </is>
      </c>
      <c r="AQ84" t="inlineStr">
        <is>
          <t>RO121</t>
        </is>
      </c>
      <c r="AR84" t="inlineStr">
        <is>
          <t>Alba</t>
        </is>
      </c>
      <c r="AS84" s="9" t="n">
        <v>5.8</v>
      </c>
      <c r="AT84" t="inlineStr">
        <is>
          <t>final</t>
        </is>
      </c>
      <c r="AU84" s="9" t="n"/>
      <c r="AV84" s="9" t="n"/>
    </row>
    <row r="85">
      <c r="A85" t="n">
        <v>2024</v>
      </c>
      <c r="B85" t="inlineStr">
        <is>
          <t>9262</t>
        </is>
      </c>
      <c r="C85" t="inlineStr">
        <is>
          <t>Arad</t>
        </is>
      </c>
      <c r="D85" t="inlineStr">
        <is>
          <t>Arad</t>
        </is>
      </c>
      <c r="E85" t="inlineStr">
        <is>
          <t>da</t>
        </is>
      </c>
      <c r="G85" t="inlineStr">
        <is>
          <t>verified</t>
        </is>
      </c>
      <c r="H85" s="5" t="n">
        <v>100</v>
      </c>
      <c r="I85" t="inlineStr">
        <is>
          <t>nu</t>
        </is>
      </c>
      <c r="J85" s="6" t="n">
        <v>145078</v>
      </c>
      <c r="K85" t="inlineStr">
        <is>
          <t>2021-12-01</t>
        </is>
      </c>
      <c r="L85" s="7" t="n">
        <v>116.5</v>
      </c>
      <c r="M85" s="7">
        <f>IFERROR(J85/L85,"")</f>
        <v/>
      </c>
      <c r="N85" s="7" t="n">
        <v>990419.4</v>
      </c>
      <c r="O85" s="7" t="n">
        <v>1027262.03</v>
      </c>
      <c r="P85" s="7">
        <f>IF(OR($E85&lt;&gt;"da",N85="",O85=""),"",N85-O85)</f>
        <v/>
      </c>
      <c r="Q85" s="7">
        <f>IF(OR($E85&lt;&gt;"da",N85=""),"",IFERROR(N85*1000/J85,""))</f>
        <v/>
      </c>
      <c r="R85" s="7">
        <f>IF(OR($E85&lt;&gt;"da",O85=""),"",IFERROR(O85*1000/J85,""))</f>
        <v/>
      </c>
      <c r="S85" s="7">
        <f>IF(OR($E85&lt;&gt;"da",P85=""),"",IFERROR(P85*1000/J85,""))</f>
        <v/>
      </c>
      <c r="T85" s="8" t="n">
        <v>12</v>
      </c>
      <c r="U85" s="8" t="n">
        <v>24</v>
      </c>
      <c r="V85" s="8" t="n"/>
      <c r="X85" s="7" t="n"/>
      <c r="Y85" s="7" t="n"/>
      <c r="Z85" s="7">
        <f>IF(OR(X85="",Y85=""),"",X85-Y85)</f>
        <v/>
      </c>
      <c r="AA85" s="7">
        <f>IF(OR($AJ85&lt;&gt;"da",X85=""),"",IFERROR(X85*1000/J85,""))</f>
        <v/>
      </c>
      <c r="AB85" s="7">
        <f>IF(OR($AJ85&lt;&gt;"da",Y85=""),"",IFERROR(Y85*1000/J85,""))</f>
        <v/>
      </c>
      <c r="AC85" s="7">
        <f>IF(OR($AJ85&lt;&gt;"da",Z85=""),"",IFERROR(Z85*1000/J85,""))</f>
        <v/>
      </c>
      <c r="AD85" s="8" t="n"/>
      <c r="AE85" s="8" t="n"/>
      <c r="AF85" s="9" t="n"/>
      <c r="AG85" s="9" t="n"/>
      <c r="AH85" s="9" t="n"/>
      <c r="AI85" s="9" t="n"/>
      <c r="AJ85" t="inlineStr">
        <is>
          <t>nu</t>
        </is>
      </c>
      <c r="AK85" t="inlineStr">
        <is>
          <t>executie_lipsa</t>
        </is>
      </c>
      <c r="AL85" t="inlineStr">
        <is>
          <t>NUTS 2024</t>
        </is>
      </c>
      <c r="AM85" t="inlineStr">
        <is>
          <t>RO4</t>
        </is>
      </c>
      <c r="AN85" t="inlineStr">
        <is>
          <t>Macroregiunea Patru</t>
        </is>
      </c>
      <c r="AO85" t="inlineStr">
        <is>
          <t>RO42</t>
        </is>
      </c>
      <c r="AP85" t="inlineStr">
        <is>
          <t>Vest</t>
        </is>
      </c>
      <c r="AQ85" t="inlineStr">
        <is>
          <t>RO421</t>
        </is>
      </c>
      <c r="AR85" t="inlineStr">
        <is>
          <t>Arad</t>
        </is>
      </c>
      <c r="AS85" s="9" t="n">
        <v>5.8</v>
      </c>
      <c r="AT85" t="inlineStr">
        <is>
          <t>final</t>
        </is>
      </c>
      <c r="AU85" s="9" t="n"/>
      <c r="AV85" s="9" t="n"/>
    </row>
    <row r="86">
      <c r="A86" t="n">
        <v>2024</v>
      </c>
      <c r="B86" t="inlineStr">
        <is>
          <t>13169</t>
        </is>
      </c>
      <c r="C86" t="inlineStr">
        <is>
          <t>Pitești</t>
        </is>
      </c>
      <c r="D86" t="inlineStr">
        <is>
          <t>Argeș</t>
        </is>
      </c>
      <c r="E86" t="inlineStr">
        <is>
          <t>nu</t>
        </is>
      </c>
      <c r="F86" t="inlineStr">
        <is>
          <t>total_cheltuieli_lipsa</t>
        </is>
      </c>
      <c r="G86" t="inlineStr">
        <is>
          <t>verified</t>
        </is>
      </c>
      <c r="H86" s="5" t="n">
        <v>58.8</v>
      </c>
      <c r="I86" t="inlineStr">
        <is>
          <t>nu</t>
        </is>
      </c>
      <c r="J86" s="6" t="n">
        <v>141275</v>
      </c>
      <c r="K86" t="inlineStr">
        <is>
          <t>2021-12-01</t>
        </is>
      </c>
      <c r="L86" s="7" t="n">
        <v>111.13</v>
      </c>
      <c r="M86" s="7">
        <f>IFERROR(J86/L86,"")</f>
        <v/>
      </c>
      <c r="N86" s="7" t="n"/>
      <c r="O86" s="7" t="n"/>
      <c r="P86" s="7">
        <f>IF(OR($E86&lt;&gt;"da",N86="",O86=""),"",N86-O86)</f>
        <v/>
      </c>
      <c r="Q86" s="7">
        <f>IF(OR($E86&lt;&gt;"da",N86=""),"",IFERROR(N86*1000/J86,""))</f>
        <v/>
      </c>
      <c r="R86" s="7">
        <f>IF(OR($E86&lt;&gt;"da",O86=""),"",IFERROR(O86*1000/J86,""))</f>
        <v/>
      </c>
      <c r="S86" s="7">
        <f>IF(OR($E86&lt;&gt;"da",P86=""),"",IFERROR(P86*1000/J86,""))</f>
        <v/>
      </c>
      <c r="T86" s="8" t="n"/>
      <c r="U86" s="8" t="n"/>
      <c r="V86" s="8" t="n"/>
      <c r="X86" s="7" t="n"/>
      <c r="Y86" s="7" t="n"/>
      <c r="Z86" s="7">
        <f>IF(OR(X86="",Y86=""),"",X86-Y86)</f>
        <v/>
      </c>
      <c r="AA86" s="7">
        <f>IF(OR($AJ86&lt;&gt;"da",X86=""),"",IFERROR(X86*1000/J86,""))</f>
        <v/>
      </c>
      <c r="AB86" s="7">
        <f>IF(OR($AJ86&lt;&gt;"da",Y86=""),"",IFERROR(Y86*1000/J86,""))</f>
        <v/>
      </c>
      <c r="AC86" s="7">
        <f>IF(OR($AJ86&lt;&gt;"da",Z86=""),"",IFERROR(Z86*1000/J86,""))</f>
        <v/>
      </c>
      <c r="AD86" s="8" t="n"/>
      <c r="AE86" s="8" t="n"/>
      <c r="AF86" s="9" t="n"/>
      <c r="AG86" s="9" t="n"/>
      <c r="AH86" s="9" t="n"/>
      <c r="AI86" s="9" t="n"/>
      <c r="AJ86" t="inlineStr">
        <is>
          <t>nu</t>
        </is>
      </c>
      <c r="AK86" t="inlineStr">
        <is>
          <t>executie_lipsa</t>
        </is>
      </c>
      <c r="AL86" t="inlineStr">
        <is>
          <t>NUTS 2024</t>
        </is>
      </c>
      <c r="AM86" t="inlineStr">
        <is>
          <t>RO3</t>
        </is>
      </c>
      <c r="AN86" t="inlineStr">
        <is>
          <t>Macroregiunea Trei</t>
        </is>
      </c>
      <c r="AO86" t="inlineStr">
        <is>
          <t>RO31</t>
        </is>
      </c>
      <c r="AP86" t="inlineStr">
        <is>
          <t>Sud-Muntenia</t>
        </is>
      </c>
      <c r="AQ86" t="inlineStr">
        <is>
          <t>RO311</t>
        </is>
      </c>
      <c r="AR86" t="inlineStr">
        <is>
          <t>Argeș</t>
        </is>
      </c>
      <c r="AS86" s="9" t="n">
        <v>5.8</v>
      </c>
      <c r="AT86" t="inlineStr">
        <is>
          <t>final</t>
        </is>
      </c>
      <c r="AU86" s="9" t="n"/>
      <c r="AV86" s="9" t="n"/>
    </row>
    <row r="87">
      <c r="A87" t="n">
        <v>2024</v>
      </c>
      <c r="B87" t="inlineStr">
        <is>
          <t>20297</t>
        </is>
      </c>
      <c r="C87" t="inlineStr">
        <is>
          <t>Bacău</t>
        </is>
      </c>
      <c r="D87" t="inlineStr">
        <is>
          <t>Bacău</t>
        </is>
      </c>
      <c r="E87" t="inlineStr">
        <is>
          <t>da</t>
        </is>
      </c>
      <c r="G87" t="inlineStr">
        <is>
          <t>verified</t>
        </is>
      </c>
      <c r="H87" s="5" t="n">
        <v>76.09999999999999</v>
      </c>
      <c r="I87" t="inlineStr">
        <is>
          <t>nu</t>
        </is>
      </c>
      <c r="J87" s="6" t="n">
        <v>136087</v>
      </c>
      <c r="K87" t="inlineStr">
        <is>
          <t>2021-12-01</t>
        </is>
      </c>
      <c r="L87" s="7" t="n">
        <v>43.1</v>
      </c>
      <c r="M87" s="7">
        <f>IFERROR(J87/L87,"")</f>
        <v/>
      </c>
      <c r="N87" s="7" t="n">
        <v>1078219.23</v>
      </c>
      <c r="O87" s="7" t="n">
        <v>597651.66</v>
      </c>
      <c r="P87" s="7">
        <f>IF(OR($E87&lt;&gt;"da",N87="",O87=""),"",N87-O87)</f>
        <v/>
      </c>
      <c r="Q87" s="7">
        <f>IF(OR($E87&lt;&gt;"da",N87=""),"",IFERROR(N87*1000/J87,""))</f>
        <v/>
      </c>
      <c r="R87" s="7">
        <f>IF(OR($E87&lt;&gt;"da",O87=""),"",IFERROR(O87*1000/J87,""))</f>
        <v/>
      </c>
      <c r="S87" s="7">
        <f>IF(OR($E87&lt;&gt;"da",P87=""),"",IFERROR(P87*1000/J87,""))</f>
        <v/>
      </c>
      <c r="T87" s="8" t="n">
        <v>20</v>
      </c>
      <c r="U87" s="8" t="n">
        <v>24</v>
      </c>
      <c r="V87" s="8" t="n"/>
      <c r="X87" s="7" t="n"/>
      <c r="Y87" s="7" t="n"/>
      <c r="Z87" s="7">
        <f>IF(OR(X87="",Y87=""),"",X87-Y87)</f>
        <v/>
      </c>
      <c r="AA87" s="7">
        <f>IF(OR($AJ87&lt;&gt;"da",X87=""),"",IFERROR(X87*1000/J87,""))</f>
        <v/>
      </c>
      <c r="AB87" s="7">
        <f>IF(OR($AJ87&lt;&gt;"da",Y87=""),"",IFERROR(Y87*1000/J87,""))</f>
        <v/>
      </c>
      <c r="AC87" s="7">
        <f>IF(OR($AJ87&lt;&gt;"da",Z87=""),"",IFERROR(Z87*1000/J87,""))</f>
        <v/>
      </c>
      <c r="AD87" s="8" t="n"/>
      <c r="AE87" s="8" t="n"/>
      <c r="AF87" s="9" t="n"/>
      <c r="AG87" s="9" t="n"/>
      <c r="AH87" s="9" t="n"/>
      <c r="AI87" s="9" t="n"/>
      <c r="AJ87" t="inlineStr">
        <is>
          <t>nu</t>
        </is>
      </c>
      <c r="AK87" t="inlineStr">
        <is>
          <t>executie_lipsa</t>
        </is>
      </c>
      <c r="AL87" t="inlineStr">
        <is>
          <t>NUTS 2024</t>
        </is>
      </c>
      <c r="AM87" t="inlineStr">
        <is>
          <t>RO2</t>
        </is>
      </c>
      <c r="AN87" t="inlineStr">
        <is>
          <t>Macroregiunea Doi</t>
        </is>
      </c>
      <c r="AO87" t="inlineStr">
        <is>
          <t>RO21</t>
        </is>
      </c>
      <c r="AP87" t="inlineStr">
        <is>
          <t>Nord-Est</t>
        </is>
      </c>
      <c r="AQ87" t="inlineStr">
        <is>
          <t>RO211</t>
        </is>
      </c>
      <c r="AR87" t="inlineStr">
        <is>
          <t>Bacău</t>
        </is>
      </c>
      <c r="AS87" s="9" t="n">
        <v>5.8</v>
      </c>
      <c r="AT87" t="inlineStr">
        <is>
          <t>final</t>
        </is>
      </c>
      <c r="AU87" s="9" t="n"/>
      <c r="AV87" s="9" t="n"/>
    </row>
    <row r="88">
      <c r="A88" t="n">
        <v>2024</v>
      </c>
      <c r="B88" t="inlineStr">
        <is>
          <t>26564</t>
        </is>
      </c>
      <c r="C88" t="inlineStr">
        <is>
          <t>Oradea</t>
        </is>
      </c>
      <c r="D88" t="inlineStr">
        <is>
          <t>Bihor</t>
        </is>
      </c>
      <c r="E88" t="inlineStr">
        <is>
          <t>da</t>
        </is>
      </c>
      <c r="G88" t="inlineStr">
        <is>
          <t>verified</t>
        </is>
      </c>
      <c r="H88" s="5" t="n">
        <v>94.8</v>
      </c>
      <c r="I88" t="inlineStr">
        <is>
          <t>nu</t>
        </is>
      </c>
      <c r="J88" s="6" t="n">
        <v>183105</v>
      </c>
      <c r="K88" t="inlineStr">
        <is>
          <t>2021-12-01</t>
        </is>
      </c>
      <c r="L88" s="7" t="n">
        <v>116.1</v>
      </c>
      <c r="M88" s="7">
        <f>IFERROR(J88/L88,"")</f>
        <v/>
      </c>
      <c r="N88" s="7" t="n"/>
      <c r="O88" s="7" t="n">
        <v>1880250.91</v>
      </c>
      <c r="P88" s="7">
        <f>IF(OR($E88&lt;&gt;"da",N88="",O88=""),"",N88-O88)</f>
        <v/>
      </c>
      <c r="Q88" s="7">
        <f>IF(OR($E88&lt;&gt;"da",N88=""),"",IFERROR(N88*1000/J88,""))</f>
        <v/>
      </c>
      <c r="R88" s="7">
        <f>IF(OR($E88&lt;&gt;"da",O88=""),"",IFERROR(O88*1000/J88,""))</f>
        <v/>
      </c>
      <c r="S88" s="7">
        <f>IF(OR($E88&lt;&gt;"da",P88=""),"",IFERROR(P88*1000/J88,""))</f>
        <v/>
      </c>
      <c r="T88" s="8" t="n">
        <v>5</v>
      </c>
      <c r="U88" s="8" t="n">
        <v>24</v>
      </c>
      <c r="V88" s="8" t="n"/>
      <c r="X88" s="7" t="n"/>
      <c r="Y88" s="7" t="n"/>
      <c r="Z88" s="7">
        <f>IF(OR(X88="",Y88=""),"",X88-Y88)</f>
        <v/>
      </c>
      <c r="AA88" s="7">
        <f>IF(OR($AJ88&lt;&gt;"da",X88=""),"",IFERROR(X88*1000/J88,""))</f>
        <v/>
      </c>
      <c r="AB88" s="7">
        <f>IF(OR($AJ88&lt;&gt;"da",Y88=""),"",IFERROR(Y88*1000/J88,""))</f>
        <v/>
      </c>
      <c r="AC88" s="7">
        <f>IF(OR($AJ88&lt;&gt;"da",Z88=""),"",IFERROR(Z88*1000/J88,""))</f>
        <v/>
      </c>
      <c r="AD88" s="8" t="n"/>
      <c r="AE88" s="8" t="n"/>
      <c r="AF88" s="9" t="n"/>
      <c r="AG88" s="9" t="n"/>
      <c r="AH88" s="9" t="n"/>
      <c r="AI88" s="9" t="n"/>
      <c r="AJ88" t="inlineStr">
        <is>
          <t>nu</t>
        </is>
      </c>
      <c r="AK88" t="inlineStr">
        <is>
          <t>executie_lipsa</t>
        </is>
      </c>
      <c r="AL88" t="inlineStr">
        <is>
          <t>NUTS 2024</t>
        </is>
      </c>
      <c r="AM88" t="inlineStr">
        <is>
          <t>RO1</t>
        </is>
      </c>
      <c r="AN88" t="inlineStr">
        <is>
          <t>Macroregiunea Unu</t>
        </is>
      </c>
      <c r="AO88" t="inlineStr">
        <is>
          <t>RO11</t>
        </is>
      </c>
      <c r="AP88" t="inlineStr">
        <is>
          <t>Nord-Vest</t>
        </is>
      </c>
      <c r="AQ88" t="inlineStr">
        <is>
          <t>RO111</t>
        </is>
      </c>
      <c r="AR88" t="inlineStr">
        <is>
          <t>Bihor</t>
        </is>
      </c>
      <c r="AS88" s="9" t="n">
        <v>5.8</v>
      </c>
      <c r="AT88" t="inlineStr">
        <is>
          <t>final</t>
        </is>
      </c>
      <c r="AU88" s="9" t="n"/>
      <c r="AV88" s="9" t="n"/>
    </row>
    <row r="89">
      <c r="A89" t="n">
        <v>2024</v>
      </c>
      <c r="B89" t="inlineStr">
        <is>
          <t>32394</t>
        </is>
      </c>
      <c r="C89" t="inlineStr">
        <is>
          <t>Bistrița</t>
        </is>
      </c>
      <c r="D89" t="inlineStr">
        <is>
          <t>Bistrița-Năsăud</t>
        </is>
      </c>
      <c r="E89" t="inlineStr">
        <is>
          <t>da</t>
        </is>
      </c>
      <c r="G89" t="inlineStr">
        <is>
          <t>verified</t>
        </is>
      </c>
      <c r="H89" s="5" t="n">
        <v>36.2</v>
      </c>
      <c r="I89" t="inlineStr">
        <is>
          <t>nu</t>
        </is>
      </c>
      <c r="J89" s="6" t="n">
        <v>78877</v>
      </c>
      <c r="K89" t="inlineStr">
        <is>
          <t>2021-12-01</t>
        </is>
      </c>
      <c r="L89" s="7" t="n">
        <v>145.47</v>
      </c>
      <c r="M89" s="7">
        <f>IFERROR(J89/L89,"")</f>
        <v/>
      </c>
      <c r="N89" s="7" t="n">
        <v>586400</v>
      </c>
      <c r="O89" s="7" t="n">
        <v>275840</v>
      </c>
      <c r="P89" s="7">
        <f>IF(OR($E89&lt;&gt;"da",N89="",O89=""),"",N89-O89)</f>
        <v/>
      </c>
      <c r="Q89" s="7">
        <f>IF(OR($E89&lt;&gt;"da",N89=""),"",IFERROR(N89*1000/J89,""))</f>
        <v/>
      </c>
      <c r="R89" s="7">
        <f>IF(OR($E89&lt;&gt;"da",O89=""),"",IFERROR(O89*1000/J89,""))</f>
        <v/>
      </c>
      <c r="S89" s="7">
        <f>IF(OR($E89&lt;&gt;"da",P89=""),"",IFERROR(P89*1000/J89,""))</f>
        <v/>
      </c>
      <c r="T89" s="8" t="n">
        <v>22</v>
      </c>
      <c r="U89" s="8" t="n">
        <v>24</v>
      </c>
      <c r="V89" s="8" t="n"/>
      <c r="X89" s="7" t="n"/>
      <c r="Y89" s="7" t="n"/>
      <c r="Z89" s="7">
        <f>IF(OR(X89="",Y89=""),"",X89-Y89)</f>
        <v/>
      </c>
      <c r="AA89" s="7">
        <f>IF(OR($AJ89&lt;&gt;"da",X89=""),"",IFERROR(X89*1000/J89,""))</f>
        <v/>
      </c>
      <c r="AB89" s="7">
        <f>IF(OR($AJ89&lt;&gt;"da",Y89=""),"",IFERROR(Y89*1000/J89,""))</f>
        <v/>
      </c>
      <c r="AC89" s="7">
        <f>IF(OR($AJ89&lt;&gt;"da",Z89=""),"",IFERROR(Z89*1000/J89,""))</f>
        <v/>
      </c>
      <c r="AD89" s="8" t="n"/>
      <c r="AE89" s="8" t="n"/>
      <c r="AF89" s="9" t="n"/>
      <c r="AG89" s="9" t="n"/>
      <c r="AH89" s="9" t="n"/>
      <c r="AI89" s="9" t="n"/>
      <c r="AJ89" t="inlineStr">
        <is>
          <t>nu</t>
        </is>
      </c>
      <c r="AK89" t="inlineStr">
        <is>
          <t>executie_lipsa</t>
        </is>
      </c>
      <c r="AL89" t="inlineStr">
        <is>
          <t>NUTS 2024</t>
        </is>
      </c>
      <c r="AM89" t="inlineStr">
        <is>
          <t>RO1</t>
        </is>
      </c>
      <c r="AN89" t="inlineStr">
        <is>
          <t>Macroregiunea Unu</t>
        </is>
      </c>
      <c r="AO89" t="inlineStr">
        <is>
          <t>RO11</t>
        </is>
      </c>
      <c r="AP89" t="inlineStr">
        <is>
          <t>Nord-Vest</t>
        </is>
      </c>
      <c r="AQ89" t="inlineStr">
        <is>
          <t>RO112</t>
        </is>
      </c>
      <c r="AR89" t="inlineStr">
        <is>
          <t>Bistrița-Năsăud</t>
        </is>
      </c>
      <c r="AS89" s="9" t="n">
        <v>5.8</v>
      </c>
      <c r="AT89" t="inlineStr">
        <is>
          <t>final</t>
        </is>
      </c>
      <c r="AU89" s="9" t="n"/>
      <c r="AV89" s="9" t="n"/>
    </row>
    <row r="90">
      <c r="A90" t="n">
        <v>2024</v>
      </c>
      <c r="B90" t="inlineStr">
        <is>
          <t>35731</t>
        </is>
      </c>
      <c r="C90" t="inlineStr">
        <is>
          <t>Botoșani</t>
        </is>
      </c>
      <c r="D90" t="inlineStr">
        <is>
          <t>Botoșani</t>
        </is>
      </c>
      <c r="E90" t="inlineStr">
        <is>
          <t>da</t>
        </is>
      </c>
      <c r="G90" t="inlineStr">
        <is>
          <t>verified</t>
        </is>
      </c>
      <c r="H90" s="5" t="n">
        <v>78.3</v>
      </c>
      <c r="I90" t="inlineStr">
        <is>
          <t>nu</t>
        </is>
      </c>
      <c r="J90" s="6" t="n">
        <v>90010</v>
      </c>
      <c r="K90" t="inlineStr">
        <is>
          <t>2021-12-01</t>
        </is>
      </c>
      <c r="L90" s="7" t="n">
        <v>41.36</v>
      </c>
      <c r="M90" s="7">
        <f>IFERROR(J90/L90,"")</f>
        <v/>
      </c>
      <c r="N90" s="7" t="n"/>
      <c r="O90" s="7" t="n">
        <v>312916.58</v>
      </c>
      <c r="P90" s="7">
        <f>IF(OR($E90&lt;&gt;"da",N90="",O90=""),"",N90-O90)</f>
        <v/>
      </c>
      <c r="Q90" s="7">
        <f>IF(OR($E90&lt;&gt;"da",N90=""),"",IFERROR(N90*1000/J90,""))</f>
        <v/>
      </c>
      <c r="R90" s="7">
        <f>IF(OR($E90&lt;&gt;"da",O90=""),"",IFERROR(O90*1000/J90,""))</f>
        <v/>
      </c>
      <c r="S90" s="7">
        <f>IF(OR($E90&lt;&gt;"da",P90=""),"",IFERROR(P90*1000/J90,""))</f>
        <v/>
      </c>
      <c r="T90" s="8" t="n">
        <v>23</v>
      </c>
      <c r="U90" s="8" t="n">
        <v>24</v>
      </c>
      <c r="V90" s="8" t="n"/>
      <c r="X90" s="7" t="n"/>
      <c r="Y90" s="7" t="n"/>
      <c r="Z90" s="7">
        <f>IF(OR(X90="",Y90=""),"",X90-Y90)</f>
        <v/>
      </c>
      <c r="AA90" s="7">
        <f>IF(OR($AJ90&lt;&gt;"da",X90=""),"",IFERROR(X90*1000/J90,""))</f>
        <v/>
      </c>
      <c r="AB90" s="7">
        <f>IF(OR($AJ90&lt;&gt;"da",Y90=""),"",IFERROR(Y90*1000/J90,""))</f>
        <v/>
      </c>
      <c r="AC90" s="7">
        <f>IF(OR($AJ90&lt;&gt;"da",Z90=""),"",IFERROR(Z90*1000/J90,""))</f>
        <v/>
      </c>
      <c r="AD90" s="8" t="n"/>
      <c r="AE90" s="8" t="n"/>
      <c r="AF90" s="9" t="n"/>
      <c r="AG90" s="9" t="n"/>
      <c r="AH90" s="9" t="n"/>
      <c r="AI90" s="9" t="n"/>
      <c r="AJ90" t="inlineStr">
        <is>
          <t>nu</t>
        </is>
      </c>
      <c r="AK90" t="inlineStr">
        <is>
          <t>executie_lipsa</t>
        </is>
      </c>
      <c r="AL90" t="inlineStr">
        <is>
          <t>NUTS 2024</t>
        </is>
      </c>
      <c r="AM90" t="inlineStr">
        <is>
          <t>RO2</t>
        </is>
      </c>
      <c r="AN90" t="inlineStr">
        <is>
          <t>Macroregiunea Doi</t>
        </is>
      </c>
      <c r="AO90" t="inlineStr">
        <is>
          <t>RO21</t>
        </is>
      </c>
      <c r="AP90" t="inlineStr">
        <is>
          <t>Nord-Est</t>
        </is>
      </c>
      <c r="AQ90" t="inlineStr">
        <is>
          <t>RO212</t>
        </is>
      </c>
      <c r="AR90" t="inlineStr">
        <is>
          <t>Botoșani</t>
        </is>
      </c>
      <c r="AS90" s="9" t="n">
        <v>5.8</v>
      </c>
      <c r="AT90" t="inlineStr">
        <is>
          <t>final</t>
        </is>
      </c>
      <c r="AU90" s="9" t="n"/>
      <c r="AV90" s="9" t="n"/>
    </row>
    <row r="91">
      <c r="A91" t="n">
        <v>2024</v>
      </c>
      <c r="B91" t="inlineStr">
        <is>
          <t>40198</t>
        </is>
      </c>
      <c r="C91" t="inlineStr">
        <is>
          <t>Brașov</t>
        </is>
      </c>
      <c r="D91" t="inlineStr">
        <is>
          <t>Brașov</t>
        </is>
      </c>
      <c r="E91" t="inlineStr">
        <is>
          <t>da</t>
        </is>
      </c>
      <c r="G91" t="inlineStr">
        <is>
          <t>verified</t>
        </is>
      </c>
      <c r="H91" s="5" t="n">
        <v>89.59999999999999</v>
      </c>
      <c r="I91" t="inlineStr">
        <is>
          <t>nu</t>
        </is>
      </c>
      <c r="J91" s="6" t="n">
        <v>237589</v>
      </c>
      <c r="K91" t="inlineStr">
        <is>
          <t>2021-12-01</t>
        </is>
      </c>
      <c r="L91" s="7" t="n">
        <v>267</v>
      </c>
      <c r="M91" s="7">
        <f>IFERROR(J91/L91,"")</f>
        <v/>
      </c>
      <c r="N91" s="7" t="n">
        <v>707391.1</v>
      </c>
      <c r="O91" s="7" t="n">
        <v>1923999.23</v>
      </c>
      <c r="P91" s="7">
        <f>IF(OR($E91&lt;&gt;"da",N91="",O91=""),"",N91-O91)</f>
        <v/>
      </c>
      <c r="Q91" s="7">
        <f>IF(OR($E91&lt;&gt;"da",N91=""),"",IFERROR(N91*1000/J91,""))</f>
        <v/>
      </c>
      <c r="R91" s="7">
        <f>IF(OR($E91&lt;&gt;"da",O91=""),"",IFERROR(O91*1000/J91,""))</f>
        <v/>
      </c>
      <c r="S91" s="7">
        <f>IF(OR($E91&lt;&gt;"da",P91=""),"",IFERROR(P91*1000/J91,""))</f>
        <v/>
      </c>
      <c r="T91" s="8" t="n">
        <v>9</v>
      </c>
      <c r="U91" s="8" t="n">
        <v>24</v>
      </c>
      <c r="V91" s="8" t="n"/>
      <c r="X91" s="7" t="n"/>
      <c r="Y91" s="7" t="n"/>
      <c r="Z91" s="7">
        <f>IF(OR(X91="",Y91=""),"",X91-Y91)</f>
        <v/>
      </c>
      <c r="AA91" s="7">
        <f>IF(OR($AJ91&lt;&gt;"da",X91=""),"",IFERROR(X91*1000/J91,""))</f>
        <v/>
      </c>
      <c r="AB91" s="7">
        <f>IF(OR($AJ91&lt;&gt;"da",Y91=""),"",IFERROR(Y91*1000/J91,""))</f>
        <v/>
      </c>
      <c r="AC91" s="7">
        <f>IF(OR($AJ91&lt;&gt;"da",Z91=""),"",IFERROR(Z91*1000/J91,""))</f>
        <v/>
      </c>
      <c r="AD91" s="8" t="n"/>
      <c r="AE91" s="8" t="n"/>
      <c r="AF91" s="9" t="n"/>
      <c r="AG91" s="9" t="n"/>
      <c r="AH91" s="9" t="n"/>
      <c r="AI91" s="9" t="n"/>
      <c r="AJ91" t="inlineStr">
        <is>
          <t>nu</t>
        </is>
      </c>
      <c r="AK91" t="inlineStr">
        <is>
          <t>executie_lipsa</t>
        </is>
      </c>
      <c r="AL91" t="inlineStr">
        <is>
          <t>NUTS 2024</t>
        </is>
      </c>
      <c r="AM91" t="inlineStr">
        <is>
          <t>RO1</t>
        </is>
      </c>
      <c r="AN91" t="inlineStr">
        <is>
          <t>Macroregiunea Unu</t>
        </is>
      </c>
      <c r="AO91" t="inlineStr">
        <is>
          <t>RO12</t>
        </is>
      </c>
      <c r="AP91" t="inlineStr">
        <is>
          <t>Centru</t>
        </is>
      </c>
      <c r="AQ91" t="inlineStr">
        <is>
          <t>RO122</t>
        </is>
      </c>
      <c r="AR91" t="inlineStr">
        <is>
          <t>Brașov</t>
        </is>
      </c>
      <c r="AS91" s="9" t="n">
        <v>5.8</v>
      </c>
      <c r="AT91" t="inlineStr">
        <is>
          <t>final</t>
        </is>
      </c>
      <c r="AU91" s="9" t="n"/>
      <c r="AV91" s="9" t="n"/>
    </row>
    <row r="92">
      <c r="A92" t="n">
        <v>2024</v>
      </c>
      <c r="B92" t="inlineStr">
        <is>
          <t>42682</t>
        </is>
      </c>
      <c r="C92" t="inlineStr">
        <is>
          <t>Brăila</t>
        </is>
      </c>
      <c r="D92" t="inlineStr">
        <is>
          <t>Brăila</t>
        </is>
      </c>
      <c r="E92" t="inlineStr">
        <is>
          <t>da</t>
        </is>
      </c>
      <c r="G92" t="inlineStr">
        <is>
          <t>verified</t>
        </is>
      </c>
      <c r="H92" s="5" t="n">
        <v>65.8</v>
      </c>
      <c r="I92" t="inlineStr">
        <is>
          <t>nu</t>
        </is>
      </c>
      <c r="J92" s="6" t="n">
        <v>154686</v>
      </c>
      <c r="K92" t="inlineStr">
        <is>
          <t>2021-12-01</t>
        </is>
      </c>
      <c r="L92" s="7" t="n">
        <v>77.90000000000001</v>
      </c>
      <c r="M92" s="7">
        <f>IFERROR(J92/L92,"")</f>
        <v/>
      </c>
      <c r="N92" s="7" t="n">
        <v>856194.28</v>
      </c>
      <c r="O92" s="7" t="n">
        <v>882694.26</v>
      </c>
      <c r="P92" s="7">
        <f>IF(OR($E92&lt;&gt;"da",N92="",O92=""),"",N92-O92)</f>
        <v/>
      </c>
      <c r="Q92" s="7">
        <f>IF(OR($E92&lt;&gt;"da",N92=""),"",IFERROR(N92*1000/J92,""))</f>
        <v/>
      </c>
      <c r="R92" s="7">
        <f>IF(OR($E92&lt;&gt;"da",O92=""),"",IFERROR(O92*1000/J92,""))</f>
        <v/>
      </c>
      <c r="S92" s="7">
        <f>IF(OR($E92&lt;&gt;"da",P92=""),"",IFERROR(P92*1000/J92,""))</f>
        <v/>
      </c>
      <c r="T92" s="8" t="n">
        <v>16</v>
      </c>
      <c r="U92" s="8" t="n">
        <v>24</v>
      </c>
      <c r="V92" s="8" t="n"/>
      <c r="X92" s="7" t="n"/>
      <c r="Y92" s="7" t="n"/>
      <c r="Z92" s="7">
        <f>IF(OR(X92="",Y92=""),"",X92-Y92)</f>
        <v/>
      </c>
      <c r="AA92" s="7">
        <f>IF(OR($AJ92&lt;&gt;"da",X92=""),"",IFERROR(X92*1000/J92,""))</f>
        <v/>
      </c>
      <c r="AB92" s="7">
        <f>IF(OR($AJ92&lt;&gt;"da",Y92=""),"",IFERROR(Y92*1000/J92,""))</f>
        <v/>
      </c>
      <c r="AC92" s="7">
        <f>IF(OR($AJ92&lt;&gt;"da",Z92=""),"",IFERROR(Z92*1000/J92,""))</f>
        <v/>
      </c>
      <c r="AD92" s="8" t="n"/>
      <c r="AE92" s="8" t="n"/>
      <c r="AF92" s="9" t="n"/>
      <c r="AG92" s="9" t="n"/>
      <c r="AH92" s="9" t="n"/>
      <c r="AI92" s="9" t="n"/>
      <c r="AJ92" t="inlineStr">
        <is>
          <t>nu</t>
        </is>
      </c>
      <c r="AK92" t="inlineStr">
        <is>
          <t>executie_lipsa</t>
        </is>
      </c>
      <c r="AL92" t="inlineStr">
        <is>
          <t>NUTS 2024</t>
        </is>
      </c>
      <c r="AM92" t="inlineStr">
        <is>
          <t>RO2</t>
        </is>
      </c>
      <c r="AN92" t="inlineStr">
        <is>
          <t>Macroregiunea Doi</t>
        </is>
      </c>
      <c r="AO92" t="inlineStr">
        <is>
          <t>RO22</t>
        </is>
      </c>
      <c r="AP92" t="inlineStr">
        <is>
          <t>Sud-Est</t>
        </is>
      </c>
      <c r="AQ92" t="inlineStr">
        <is>
          <t>RO221</t>
        </is>
      </c>
      <c r="AR92" t="inlineStr">
        <is>
          <t>Brăila</t>
        </is>
      </c>
      <c r="AS92" s="9" t="n">
        <v>5.8</v>
      </c>
      <c r="AT92" t="inlineStr">
        <is>
          <t>final</t>
        </is>
      </c>
      <c r="AU92" s="9" t="n"/>
      <c r="AV92" s="9" t="n"/>
    </row>
    <row r="93">
      <c r="A93" t="n">
        <v>2024</v>
      </c>
      <c r="B93" t="inlineStr">
        <is>
          <t>44818</t>
        </is>
      </c>
      <c r="C93" t="inlineStr">
        <is>
          <t>Buzău</t>
        </is>
      </c>
      <c r="D93" t="inlineStr">
        <is>
          <t>Buzău</t>
        </is>
      </c>
      <c r="E93" t="inlineStr">
        <is>
          <t>da</t>
        </is>
      </c>
      <c r="G93" t="inlineStr">
        <is>
          <t>verified</t>
        </is>
      </c>
      <c r="H93" s="5" t="n">
        <v>58.3</v>
      </c>
      <c r="I93" t="inlineStr">
        <is>
          <t>nu</t>
        </is>
      </c>
      <c r="J93" s="6" t="n">
        <v>103481</v>
      </c>
      <c r="K93" t="inlineStr">
        <is>
          <t>2021-12-01</t>
        </is>
      </c>
      <c r="L93" s="7" t="n">
        <v>81.3</v>
      </c>
      <c r="M93" s="7">
        <f>IFERROR(J93/L93,"")</f>
        <v/>
      </c>
      <c r="N93" s="7" t="n"/>
      <c r="O93" s="7" t="n">
        <v>689774</v>
      </c>
      <c r="P93" s="7">
        <f>IF(OR($E93&lt;&gt;"da",N93="",O93=""),"",N93-O93)</f>
        <v/>
      </c>
      <c r="Q93" s="7">
        <f>IF(OR($E93&lt;&gt;"da",N93=""),"",IFERROR(N93*1000/J93,""))</f>
        <v/>
      </c>
      <c r="R93" s="7">
        <f>IF(OR($E93&lt;&gt;"da",O93=""),"",IFERROR(O93*1000/J93,""))</f>
        <v/>
      </c>
      <c r="S93" s="7">
        <f>IF(OR($E93&lt;&gt;"da",P93=""),"",IFERROR(P93*1000/J93,""))</f>
        <v/>
      </c>
      <c r="T93" s="8" t="n">
        <v>14</v>
      </c>
      <c r="U93" s="8" t="n">
        <v>24</v>
      </c>
      <c r="V93" s="8" t="n"/>
      <c r="X93" s="7" t="n"/>
      <c r="Y93" s="7" t="n"/>
      <c r="Z93" s="7">
        <f>IF(OR(X93="",Y93=""),"",X93-Y93)</f>
        <v/>
      </c>
      <c r="AA93" s="7">
        <f>IF(OR($AJ93&lt;&gt;"da",X93=""),"",IFERROR(X93*1000/J93,""))</f>
        <v/>
      </c>
      <c r="AB93" s="7">
        <f>IF(OR($AJ93&lt;&gt;"da",Y93=""),"",IFERROR(Y93*1000/J93,""))</f>
        <v/>
      </c>
      <c r="AC93" s="7">
        <f>IF(OR($AJ93&lt;&gt;"da",Z93=""),"",IFERROR(Z93*1000/J93,""))</f>
        <v/>
      </c>
      <c r="AD93" s="8" t="n"/>
      <c r="AE93" s="8" t="n"/>
      <c r="AF93" s="9" t="n"/>
      <c r="AG93" s="9" t="n"/>
      <c r="AH93" s="9" t="n"/>
      <c r="AI93" s="9" t="n"/>
      <c r="AJ93" t="inlineStr">
        <is>
          <t>nu</t>
        </is>
      </c>
      <c r="AK93" t="inlineStr">
        <is>
          <t>executie_lipsa</t>
        </is>
      </c>
      <c r="AL93" t="inlineStr">
        <is>
          <t>NUTS 2024</t>
        </is>
      </c>
      <c r="AM93" t="inlineStr">
        <is>
          <t>RO2</t>
        </is>
      </c>
      <c r="AN93" t="inlineStr">
        <is>
          <t>Macroregiunea Doi</t>
        </is>
      </c>
      <c r="AO93" t="inlineStr">
        <is>
          <t>RO22</t>
        </is>
      </c>
      <c r="AP93" t="inlineStr">
        <is>
          <t>Sud-Est</t>
        </is>
      </c>
      <c r="AQ93" t="inlineStr">
        <is>
          <t>RO222</t>
        </is>
      </c>
      <c r="AR93" t="inlineStr">
        <is>
          <t>Buzău</t>
        </is>
      </c>
      <c r="AS93" s="9" t="n">
        <v>5.8</v>
      </c>
      <c r="AT93" t="inlineStr">
        <is>
          <t>final</t>
        </is>
      </c>
      <c r="AU93" s="9" t="n"/>
      <c r="AV93" s="9" t="n"/>
    </row>
    <row r="94">
      <c r="A94" t="n">
        <v>2024</v>
      </c>
      <c r="B94" t="inlineStr">
        <is>
          <t>50790</t>
        </is>
      </c>
      <c r="C94" t="inlineStr">
        <is>
          <t>Reșița</t>
        </is>
      </c>
      <c r="D94" t="inlineStr">
        <is>
          <t>Caraș-Severin</t>
        </is>
      </c>
      <c r="E94" t="inlineStr">
        <is>
          <t>da</t>
        </is>
      </c>
      <c r="G94" t="inlineStr">
        <is>
          <t>verified</t>
        </is>
      </c>
      <c r="H94" s="5" t="n">
        <v>95.2</v>
      </c>
      <c r="I94" t="inlineStr">
        <is>
          <t>nu</t>
        </is>
      </c>
      <c r="J94" s="6" t="n">
        <v>58393</v>
      </c>
      <c r="K94" t="inlineStr">
        <is>
          <t>2021-12-01</t>
        </is>
      </c>
      <c r="L94" s="7" t="n">
        <v>197.65</v>
      </c>
      <c r="M94" s="7">
        <f>IFERROR(J94/L94,"")</f>
        <v/>
      </c>
      <c r="N94" s="7" t="n"/>
      <c r="O94" s="7" t="n">
        <v>633645.3100000001</v>
      </c>
      <c r="P94" s="7">
        <f>IF(OR($E94&lt;&gt;"da",N94="",O94=""),"",N94-O94)</f>
        <v/>
      </c>
      <c r="Q94" s="7">
        <f>IF(OR($E94&lt;&gt;"da",N94=""),"",IFERROR(N94*1000/J94,""))</f>
        <v/>
      </c>
      <c r="R94" s="7">
        <f>IF(OR($E94&lt;&gt;"da",O94=""),"",IFERROR(O94*1000/J94,""))</f>
        <v/>
      </c>
      <c r="S94" s="7">
        <f>IF(OR($E94&lt;&gt;"da",P94=""),"",IFERROR(P94*1000/J94,""))</f>
        <v/>
      </c>
      <c r="T94" s="8" t="n">
        <v>1</v>
      </c>
      <c r="U94" s="8" t="n">
        <v>24</v>
      </c>
      <c r="V94" s="8" t="n"/>
      <c r="X94" s="7" t="n"/>
      <c r="Y94" s="7" t="n"/>
      <c r="Z94" s="7">
        <f>IF(OR(X94="",Y94=""),"",X94-Y94)</f>
        <v/>
      </c>
      <c r="AA94" s="7">
        <f>IF(OR($AJ94&lt;&gt;"da",X94=""),"",IFERROR(X94*1000/J94,""))</f>
        <v/>
      </c>
      <c r="AB94" s="7">
        <f>IF(OR($AJ94&lt;&gt;"da",Y94=""),"",IFERROR(Y94*1000/J94,""))</f>
        <v/>
      </c>
      <c r="AC94" s="7">
        <f>IF(OR($AJ94&lt;&gt;"da",Z94=""),"",IFERROR(Z94*1000/J94,""))</f>
        <v/>
      </c>
      <c r="AD94" s="8" t="n"/>
      <c r="AE94" s="8" t="n"/>
      <c r="AF94" s="9" t="n"/>
      <c r="AG94" s="9" t="n"/>
      <c r="AH94" s="9" t="n"/>
      <c r="AI94" s="9" t="n"/>
      <c r="AJ94" t="inlineStr">
        <is>
          <t>nu</t>
        </is>
      </c>
      <c r="AK94" t="inlineStr">
        <is>
          <t>executie_lipsa</t>
        </is>
      </c>
      <c r="AL94" t="inlineStr">
        <is>
          <t>NUTS 2024</t>
        </is>
      </c>
      <c r="AM94" t="inlineStr">
        <is>
          <t>RO4</t>
        </is>
      </c>
      <c r="AN94" t="inlineStr">
        <is>
          <t>Macroregiunea Patru</t>
        </is>
      </c>
      <c r="AO94" t="inlineStr">
        <is>
          <t>RO42</t>
        </is>
      </c>
      <c r="AP94" t="inlineStr">
        <is>
          <t>Vest</t>
        </is>
      </c>
      <c r="AQ94" t="inlineStr">
        <is>
          <t>RO422</t>
        </is>
      </c>
      <c r="AR94" t="inlineStr">
        <is>
          <t>Caraș-Severin</t>
        </is>
      </c>
      <c r="AS94" s="9" t="n">
        <v>5.8</v>
      </c>
      <c r="AT94" t="inlineStr">
        <is>
          <t>final</t>
        </is>
      </c>
      <c r="AU94" s="9" t="n"/>
      <c r="AV94" s="9" t="n"/>
    </row>
    <row r="95">
      <c r="A95" t="n">
        <v>2024</v>
      </c>
      <c r="B95" t="inlineStr">
        <is>
          <t>92569</t>
        </is>
      </c>
      <c r="C95" t="inlineStr">
        <is>
          <t>Călărași</t>
        </is>
      </c>
      <c r="D95" t="inlineStr">
        <is>
          <t>Călărași</t>
        </is>
      </c>
      <c r="E95" t="inlineStr">
        <is>
          <t>nu</t>
        </is>
      </c>
      <c r="F95" t="inlineStr">
        <is>
          <t>total_cheltuieli_lipsa</t>
        </is>
      </c>
      <c r="G95" t="inlineStr">
        <is>
          <t>verified</t>
        </is>
      </c>
      <c r="H95" s="5" t="n">
        <v>53.1</v>
      </c>
      <c r="I95" t="inlineStr">
        <is>
          <t>nu</t>
        </is>
      </c>
      <c r="J95" s="6" t="n">
        <v>58211</v>
      </c>
      <c r="K95" t="inlineStr">
        <is>
          <t>2021-12-01</t>
        </is>
      </c>
      <c r="L95" s="7" t="n">
        <v>133.22</v>
      </c>
      <c r="M95" s="7">
        <f>IFERROR(J95/L95,"")</f>
        <v/>
      </c>
      <c r="N95" s="7" t="n">
        <v>223517</v>
      </c>
      <c r="O95" s="7" t="n"/>
      <c r="P95" s="7">
        <f>IF(OR($E95&lt;&gt;"da",N95="",O95=""),"",N95-O95)</f>
        <v/>
      </c>
      <c r="Q95" s="7">
        <f>IF(OR($E95&lt;&gt;"da",N95=""),"",IFERROR(N95*1000/J95,""))</f>
        <v/>
      </c>
      <c r="R95" s="7">
        <f>IF(OR($E95&lt;&gt;"da",O95=""),"",IFERROR(O95*1000/J95,""))</f>
        <v/>
      </c>
      <c r="S95" s="7">
        <f>IF(OR($E95&lt;&gt;"da",P95=""),"",IFERROR(P95*1000/J95,""))</f>
        <v/>
      </c>
      <c r="T95" s="8" t="n"/>
      <c r="U95" s="8" t="n"/>
      <c r="V95" s="8" t="n"/>
      <c r="X95" s="7" t="n"/>
      <c r="Y95" s="7" t="n"/>
      <c r="Z95" s="7">
        <f>IF(OR(X95="",Y95=""),"",X95-Y95)</f>
        <v/>
      </c>
      <c r="AA95" s="7">
        <f>IF(OR($AJ95&lt;&gt;"da",X95=""),"",IFERROR(X95*1000/J95,""))</f>
        <v/>
      </c>
      <c r="AB95" s="7">
        <f>IF(OR($AJ95&lt;&gt;"da",Y95=""),"",IFERROR(Y95*1000/J95,""))</f>
        <v/>
      </c>
      <c r="AC95" s="7">
        <f>IF(OR($AJ95&lt;&gt;"da",Z95=""),"",IFERROR(Z95*1000/J95,""))</f>
        <v/>
      </c>
      <c r="AD95" s="8" t="n"/>
      <c r="AE95" s="8" t="n"/>
      <c r="AF95" s="9" t="n"/>
      <c r="AG95" s="9" t="n"/>
      <c r="AH95" s="9" t="n"/>
      <c r="AI95" s="9" t="n"/>
      <c r="AJ95" t="inlineStr">
        <is>
          <t>nu</t>
        </is>
      </c>
      <c r="AK95" t="inlineStr">
        <is>
          <t>executie_lipsa</t>
        </is>
      </c>
      <c r="AL95" t="inlineStr">
        <is>
          <t>NUTS 2024</t>
        </is>
      </c>
      <c r="AM95" t="inlineStr">
        <is>
          <t>RO3</t>
        </is>
      </c>
      <c r="AN95" t="inlineStr">
        <is>
          <t>Macroregiunea Trei</t>
        </is>
      </c>
      <c r="AO95" t="inlineStr">
        <is>
          <t>RO31</t>
        </is>
      </c>
      <c r="AP95" t="inlineStr">
        <is>
          <t>Sud-Muntenia</t>
        </is>
      </c>
      <c r="AQ95" t="inlineStr">
        <is>
          <t>RO312</t>
        </is>
      </c>
      <c r="AR95" t="inlineStr">
        <is>
          <t>Călărași</t>
        </is>
      </c>
      <c r="AS95" s="9" t="n">
        <v>5.8</v>
      </c>
      <c r="AT95" t="inlineStr">
        <is>
          <t>final</t>
        </is>
      </c>
      <c r="AU95" s="9" t="n"/>
      <c r="AV95" s="9" t="n"/>
    </row>
    <row r="96">
      <c r="A96" t="n">
        <v>2024</v>
      </c>
      <c r="B96" t="inlineStr">
        <is>
          <t>54975</t>
        </is>
      </c>
      <c r="C96" t="inlineStr">
        <is>
          <t>Cluj-Napoca</t>
        </is>
      </c>
      <c r="D96" t="inlineStr">
        <is>
          <t>Cluj</t>
        </is>
      </c>
      <c r="E96" t="inlineStr">
        <is>
          <t>da</t>
        </is>
      </c>
      <c r="G96" t="inlineStr">
        <is>
          <t>verified</t>
        </is>
      </c>
      <c r="H96" s="5" t="n">
        <v>84.7</v>
      </c>
      <c r="I96" t="inlineStr">
        <is>
          <t>nu</t>
        </is>
      </c>
      <c r="J96" s="6" t="n">
        <v>286598</v>
      </c>
      <c r="K96" t="inlineStr">
        <is>
          <t>2021-12-01</t>
        </is>
      </c>
      <c r="L96" s="7" t="n">
        <v>179.5</v>
      </c>
      <c r="M96" s="7">
        <f>IFERROR(J96/L96,"")</f>
        <v/>
      </c>
      <c r="N96" s="7" t="n">
        <v>2563356.898</v>
      </c>
      <c r="O96" s="7" t="n">
        <v>2996612.8</v>
      </c>
      <c r="P96" s="7">
        <f>IF(OR($E96&lt;&gt;"da",N96="",O96=""),"",N96-O96)</f>
        <v/>
      </c>
      <c r="Q96" s="7">
        <f>IF(OR($E96&lt;&gt;"da",N96=""),"",IFERROR(N96*1000/J96,""))</f>
        <v/>
      </c>
      <c r="R96" s="7">
        <f>IF(OR($E96&lt;&gt;"da",O96=""),"",IFERROR(O96*1000/J96,""))</f>
        <v/>
      </c>
      <c r="S96" s="7">
        <f>IF(OR($E96&lt;&gt;"da",P96=""),"",IFERROR(P96*1000/J96,""))</f>
        <v/>
      </c>
      <c r="T96" s="8" t="n">
        <v>4</v>
      </c>
      <c r="U96" s="8" t="n">
        <v>24</v>
      </c>
      <c r="V96" s="8" t="n"/>
      <c r="X96" s="7" t="n"/>
      <c r="Y96" s="7" t="n"/>
      <c r="Z96" s="7">
        <f>IF(OR(X96="",Y96=""),"",X96-Y96)</f>
        <v/>
      </c>
      <c r="AA96" s="7">
        <f>IF(OR($AJ96&lt;&gt;"da",X96=""),"",IFERROR(X96*1000/J96,""))</f>
        <v/>
      </c>
      <c r="AB96" s="7">
        <f>IF(OR($AJ96&lt;&gt;"da",Y96=""),"",IFERROR(Y96*1000/J96,""))</f>
        <v/>
      </c>
      <c r="AC96" s="7">
        <f>IF(OR($AJ96&lt;&gt;"da",Z96=""),"",IFERROR(Z96*1000/J96,""))</f>
        <v/>
      </c>
      <c r="AD96" s="8" t="n"/>
      <c r="AE96" s="8" t="n"/>
      <c r="AF96" s="9" t="n"/>
      <c r="AG96" s="9" t="n"/>
      <c r="AH96" s="9" t="n"/>
      <c r="AI96" s="9" t="n"/>
      <c r="AJ96" t="inlineStr">
        <is>
          <t>nu</t>
        </is>
      </c>
      <c r="AK96" t="inlineStr">
        <is>
          <t>executie_lipsa</t>
        </is>
      </c>
      <c r="AL96" t="inlineStr">
        <is>
          <t>NUTS 2024</t>
        </is>
      </c>
      <c r="AM96" t="inlineStr">
        <is>
          <t>RO1</t>
        </is>
      </c>
      <c r="AN96" t="inlineStr">
        <is>
          <t>Macroregiunea Unu</t>
        </is>
      </c>
      <c r="AO96" t="inlineStr">
        <is>
          <t>RO11</t>
        </is>
      </c>
      <c r="AP96" t="inlineStr">
        <is>
          <t>Nord-Vest</t>
        </is>
      </c>
      <c r="AQ96" t="inlineStr">
        <is>
          <t>RO113</t>
        </is>
      </c>
      <c r="AR96" t="inlineStr">
        <is>
          <t>Cluj</t>
        </is>
      </c>
      <c r="AS96" s="9" t="n">
        <v>5.8</v>
      </c>
      <c r="AT96" t="inlineStr">
        <is>
          <t>final</t>
        </is>
      </c>
      <c r="AU96" s="9" t="n"/>
      <c r="AV96" s="9" t="n"/>
    </row>
    <row r="97">
      <c r="A97" t="n">
        <v>2024</v>
      </c>
      <c r="B97" t="inlineStr">
        <is>
          <t>60419</t>
        </is>
      </c>
      <c r="C97" t="inlineStr">
        <is>
          <t>Constanța</t>
        </is>
      </c>
      <c r="D97" t="inlineStr">
        <is>
          <t>Constanța</t>
        </is>
      </c>
      <c r="E97" t="inlineStr">
        <is>
          <t>da</t>
        </is>
      </c>
      <c r="G97" t="inlineStr">
        <is>
          <t>verified</t>
        </is>
      </c>
      <c r="H97" s="5" t="n">
        <v>75.2</v>
      </c>
      <c r="I97" t="inlineStr">
        <is>
          <t>nu</t>
        </is>
      </c>
      <c r="J97" s="6" t="n">
        <v>263688</v>
      </c>
      <c r="K97" t="inlineStr">
        <is>
          <t>2021-12-01</t>
        </is>
      </c>
      <c r="L97" s="7" t="n">
        <v>124.89</v>
      </c>
      <c r="M97" s="7">
        <f>IFERROR(J97/L97,"")</f>
        <v/>
      </c>
      <c r="N97" s="7" t="n">
        <v>2271441</v>
      </c>
      <c r="O97" s="7" t="n">
        <v>2292515</v>
      </c>
      <c r="P97" s="7">
        <f>IF(OR($E97&lt;&gt;"da",N97="",O97=""),"",N97-O97)</f>
        <v/>
      </c>
      <c r="Q97" s="7">
        <f>IF(OR($E97&lt;&gt;"da",N97=""),"",IFERROR(N97*1000/J97,""))</f>
        <v/>
      </c>
      <c r="R97" s="7">
        <f>IF(OR($E97&lt;&gt;"da",O97=""),"",IFERROR(O97*1000/J97,""))</f>
        <v/>
      </c>
      <c r="S97" s="7">
        <f>IF(OR($E97&lt;&gt;"da",P97=""),"",IFERROR(P97*1000/J97,""))</f>
        <v/>
      </c>
      <c r="T97" s="8" t="n">
        <v>8</v>
      </c>
      <c r="U97" s="8" t="n">
        <v>24</v>
      </c>
      <c r="V97" s="8" t="n"/>
      <c r="X97" s="7" t="n"/>
      <c r="Y97" s="7" t="n"/>
      <c r="Z97" s="7">
        <f>IF(OR(X97="",Y97=""),"",X97-Y97)</f>
        <v/>
      </c>
      <c r="AA97" s="7">
        <f>IF(OR($AJ97&lt;&gt;"da",X97=""),"",IFERROR(X97*1000/J97,""))</f>
        <v/>
      </c>
      <c r="AB97" s="7">
        <f>IF(OR($AJ97&lt;&gt;"da",Y97=""),"",IFERROR(Y97*1000/J97,""))</f>
        <v/>
      </c>
      <c r="AC97" s="7">
        <f>IF(OR($AJ97&lt;&gt;"da",Z97=""),"",IFERROR(Z97*1000/J97,""))</f>
        <v/>
      </c>
      <c r="AD97" s="8" t="n"/>
      <c r="AE97" s="8" t="n"/>
      <c r="AF97" s="9" t="n"/>
      <c r="AG97" s="9" t="n"/>
      <c r="AH97" s="9" t="n"/>
      <c r="AI97" s="9" t="n"/>
      <c r="AJ97" t="inlineStr">
        <is>
          <t>nu</t>
        </is>
      </c>
      <c r="AK97" t="inlineStr">
        <is>
          <t>executie_lipsa</t>
        </is>
      </c>
      <c r="AL97" t="inlineStr">
        <is>
          <t>NUTS 2024</t>
        </is>
      </c>
      <c r="AM97" t="inlineStr">
        <is>
          <t>RO2</t>
        </is>
      </c>
      <c r="AN97" t="inlineStr">
        <is>
          <t>Macroregiunea Doi</t>
        </is>
      </c>
      <c r="AO97" t="inlineStr">
        <is>
          <t>RO22</t>
        </is>
      </c>
      <c r="AP97" t="inlineStr">
        <is>
          <t>Sud-Est</t>
        </is>
      </c>
      <c r="AQ97" t="inlineStr">
        <is>
          <t>RO223</t>
        </is>
      </c>
      <c r="AR97" t="inlineStr">
        <is>
          <t>Constanța</t>
        </is>
      </c>
      <c r="AS97" s="9" t="n">
        <v>5.8</v>
      </c>
      <c r="AT97" t="inlineStr">
        <is>
          <t>final</t>
        </is>
      </c>
      <c r="AU97" s="9" t="n"/>
      <c r="AV97" s="9" t="n"/>
    </row>
    <row r="98">
      <c r="A98" t="n">
        <v>2024</v>
      </c>
      <c r="B98" t="inlineStr">
        <is>
          <t>63394</t>
        </is>
      </c>
      <c r="C98" t="inlineStr">
        <is>
          <t>Sfântu Gheorghe</t>
        </is>
      </c>
      <c r="D98" t="inlineStr">
        <is>
          <t>Covasna</t>
        </is>
      </c>
      <c r="E98" t="inlineStr">
        <is>
          <t>nu</t>
        </is>
      </c>
      <c r="F98" t="inlineStr">
        <is>
          <t>total_cheltuieli_lipsa</t>
        </is>
      </c>
      <c r="G98" t="inlineStr">
        <is>
          <t>verified</t>
        </is>
      </c>
      <c r="H98" s="5" t="n">
        <v>92.3</v>
      </c>
      <c r="I98" t="inlineStr">
        <is>
          <t>nu</t>
        </is>
      </c>
      <c r="J98" s="6" t="n">
        <v>50080</v>
      </c>
      <c r="K98" t="inlineStr">
        <is>
          <t>2021-12-01</t>
        </is>
      </c>
      <c r="L98" s="7" t="n">
        <v>72.92</v>
      </c>
      <c r="M98" s="7">
        <f>IFERROR(J98/L98,"")</f>
        <v/>
      </c>
      <c r="N98" s="7" t="n"/>
      <c r="O98" s="7" t="n"/>
      <c r="P98" s="7">
        <f>IF(OR($E98&lt;&gt;"da",N98="",O98=""),"",N98-O98)</f>
        <v/>
      </c>
      <c r="Q98" s="7">
        <f>IF(OR($E98&lt;&gt;"da",N98=""),"",IFERROR(N98*1000/J98,""))</f>
        <v/>
      </c>
      <c r="R98" s="7">
        <f>IF(OR($E98&lt;&gt;"da",O98=""),"",IFERROR(O98*1000/J98,""))</f>
        <v/>
      </c>
      <c r="S98" s="7">
        <f>IF(OR($E98&lt;&gt;"da",P98=""),"",IFERROR(P98*1000/J98,""))</f>
        <v/>
      </c>
      <c r="T98" s="8" t="n"/>
      <c r="U98" s="8" t="n"/>
      <c r="V98" s="8" t="n"/>
      <c r="X98" s="7" t="n"/>
      <c r="Y98" s="7" t="n"/>
      <c r="Z98" s="7">
        <f>IF(OR(X98="",Y98=""),"",X98-Y98)</f>
        <v/>
      </c>
      <c r="AA98" s="7">
        <f>IF(OR($AJ98&lt;&gt;"da",X98=""),"",IFERROR(X98*1000/J98,""))</f>
        <v/>
      </c>
      <c r="AB98" s="7">
        <f>IF(OR($AJ98&lt;&gt;"da",Y98=""),"",IFERROR(Y98*1000/J98,""))</f>
        <v/>
      </c>
      <c r="AC98" s="7">
        <f>IF(OR($AJ98&lt;&gt;"da",Z98=""),"",IFERROR(Z98*1000/J98,""))</f>
        <v/>
      </c>
      <c r="AD98" s="8" t="n"/>
      <c r="AE98" s="8" t="n"/>
      <c r="AF98" s="9" t="n"/>
      <c r="AG98" s="9" t="n"/>
      <c r="AH98" s="9" t="n"/>
      <c r="AI98" s="9" t="n"/>
      <c r="AJ98" t="inlineStr">
        <is>
          <t>nu</t>
        </is>
      </c>
      <c r="AK98" t="inlineStr">
        <is>
          <t>executie_lipsa</t>
        </is>
      </c>
      <c r="AL98" t="inlineStr">
        <is>
          <t>NUTS 2024</t>
        </is>
      </c>
      <c r="AM98" t="inlineStr">
        <is>
          <t>RO1</t>
        </is>
      </c>
      <c r="AN98" t="inlineStr">
        <is>
          <t>Macroregiunea Unu</t>
        </is>
      </c>
      <c r="AO98" t="inlineStr">
        <is>
          <t>RO12</t>
        </is>
      </c>
      <c r="AP98" t="inlineStr">
        <is>
          <t>Centru</t>
        </is>
      </c>
      <c r="AQ98" t="inlineStr">
        <is>
          <t>RO123</t>
        </is>
      </c>
      <c r="AR98" t="inlineStr">
        <is>
          <t>Covasna</t>
        </is>
      </c>
      <c r="AS98" s="9" t="n">
        <v>5.8</v>
      </c>
      <c r="AT98" t="inlineStr">
        <is>
          <t>final</t>
        </is>
      </c>
      <c r="AU98" s="9" t="n"/>
      <c r="AV98" s="9" t="n"/>
    </row>
    <row r="99">
      <c r="A99" t="n">
        <v>2024</v>
      </c>
      <c r="B99" t="inlineStr">
        <is>
          <t>65342</t>
        </is>
      </c>
      <c r="C99" t="inlineStr">
        <is>
          <t>Târgoviște</t>
        </is>
      </c>
      <c r="D99" t="inlineStr">
        <is>
          <t>Dâmbovița</t>
        </is>
      </c>
      <c r="E99" t="inlineStr">
        <is>
          <t>da</t>
        </is>
      </c>
      <c r="G99" t="inlineStr">
        <is>
          <t>verified</t>
        </is>
      </c>
      <c r="H99" s="5" t="n">
        <v>99.8</v>
      </c>
      <c r="I99" t="inlineStr">
        <is>
          <t>nu</t>
        </is>
      </c>
      <c r="J99" s="6" t="n">
        <v>66965</v>
      </c>
      <c r="K99" t="inlineStr">
        <is>
          <t>2021-12-01</t>
        </is>
      </c>
      <c r="L99" s="7" t="n">
        <v>50.4</v>
      </c>
      <c r="M99" s="7">
        <f>IFERROR(J99/L99,"")</f>
        <v/>
      </c>
      <c r="N99" s="7" t="n">
        <v>597702.89</v>
      </c>
      <c r="O99" s="7" t="n">
        <v>603514.89</v>
      </c>
      <c r="P99" s="7">
        <f>IF(OR($E99&lt;&gt;"da",N99="",O99=""),"",N99-O99)</f>
        <v/>
      </c>
      <c r="Q99" s="7">
        <f>IF(OR($E99&lt;&gt;"da",N99=""),"",IFERROR(N99*1000/J99,""))</f>
        <v/>
      </c>
      <c r="R99" s="7">
        <f>IF(OR($E99&lt;&gt;"da",O99=""),"",IFERROR(O99*1000/J99,""))</f>
        <v/>
      </c>
      <c r="S99" s="7">
        <f>IF(OR($E99&lt;&gt;"da",P99=""),"",IFERROR(P99*1000/J99,""))</f>
        <v/>
      </c>
      <c r="T99" s="8" t="n">
        <v>7</v>
      </c>
      <c r="U99" s="8" t="n">
        <v>24</v>
      </c>
      <c r="V99" s="8" t="n"/>
      <c r="X99" s="7" t="n"/>
      <c r="Y99" s="7" t="n"/>
      <c r="Z99" s="7">
        <f>IF(OR(X99="",Y99=""),"",X99-Y99)</f>
        <v/>
      </c>
      <c r="AA99" s="7">
        <f>IF(OR($AJ99&lt;&gt;"da",X99=""),"",IFERROR(X99*1000/J99,""))</f>
        <v/>
      </c>
      <c r="AB99" s="7">
        <f>IF(OR($AJ99&lt;&gt;"da",Y99=""),"",IFERROR(Y99*1000/J99,""))</f>
        <v/>
      </c>
      <c r="AC99" s="7">
        <f>IF(OR($AJ99&lt;&gt;"da",Z99=""),"",IFERROR(Z99*1000/J99,""))</f>
        <v/>
      </c>
      <c r="AD99" s="8" t="n"/>
      <c r="AE99" s="8" t="n"/>
      <c r="AF99" s="9" t="n"/>
      <c r="AG99" s="9" t="n"/>
      <c r="AH99" s="9" t="n"/>
      <c r="AI99" s="9" t="n"/>
      <c r="AJ99" t="inlineStr">
        <is>
          <t>nu</t>
        </is>
      </c>
      <c r="AK99" t="inlineStr">
        <is>
          <t>executie_lipsa</t>
        </is>
      </c>
      <c r="AL99" t="inlineStr">
        <is>
          <t>NUTS 2024</t>
        </is>
      </c>
      <c r="AM99" t="inlineStr">
        <is>
          <t>RO3</t>
        </is>
      </c>
      <c r="AN99" t="inlineStr">
        <is>
          <t>Macroregiunea Trei</t>
        </is>
      </c>
      <c r="AO99" t="inlineStr">
        <is>
          <t>RO31</t>
        </is>
      </c>
      <c r="AP99" t="inlineStr">
        <is>
          <t>Sud-Muntenia</t>
        </is>
      </c>
      <c r="AQ99" t="inlineStr">
        <is>
          <t>RO313</t>
        </is>
      </c>
      <c r="AR99" t="inlineStr">
        <is>
          <t>Dâmbovița</t>
        </is>
      </c>
      <c r="AS99" s="9" t="n">
        <v>5.8</v>
      </c>
      <c r="AT99" t="inlineStr">
        <is>
          <t>final</t>
        </is>
      </c>
      <c r="AU99" s="9" t="n"/>
      <c r="AV99" s="9" t="n"/>
    </row>
    <row r="100">
      <c r="A100" t="n">
        <v>2024</v>
      </c>
      <c r="B100" t="inlineStr">
        <is>
          <t>69900</t>
        </is>
      </c>
      <c r="C100" t="inlineStr">
        <is>
          <t>Craiova</t>
        </is>
      </c>
      <c r="D100" t="inlineStr">
        <is>
          <t>Dolj</t>
        </is>
      </c>
      <c r="E100" t="inlineStr">
        <is>
          <t>da</t>
        </is>
      </c>
      <c r="G100" t="inlineStr">
        <is>
          <t>verified</t>
        </is>
      </c>
      <c r="H100" s="5" t="n">
        <v>100</v>
      </c>
      <c r="I100" t="inlineStr">
        <is>
          <t>nu</t>
        </is>
      </c>
      <c r="J100" s="6" t="n">
        <v>234140</v>
      </c>
      <c r="K100" t="inlineStr">
        <is>
          <t>2021-12-01</t>
        </is>
      </c>
      <c r="L100" s="7" t="n">
        <v>81.41</v>
      </c>
      <c r="M100" s="7">
        <f>IFERROR(J100/L100,"")</f>
        <v/>
      </c>
      <c r="N100" s="7" t="n">
        <v>1222858</v>
      </c>
      <c r="O100" s="7" t="n">
        <v>1233799</v>
      </c>
      <c r="P100" s="7">
        <f>IF(OR($E100&lt;&gt;"da",N100="",O100=""),"",N100-O100)</f>
        <v/>
      </c>
      <c r="Q100" s="7">
        <f>IF(OR($E100&lt;&gt;"da",N100=""),"",IFERROR(N100*1000/J100,""))</f>
        <v/>
      </c>
      <c r="R100" s="7">
        <f>IF(OR($E100&lt;&gt;"da",O100=""),"",IFERROR(O100*1000/J100,""))</f>
        <v/>
      </c>
      <c r="S100" s="7">
        <f>IF(OR($E100&lt;&gt;"da",P100=""),"",IFERROR(P100*1000/J100,""))</f>
        <v/>
      </c>
      <c r="T100" s="8" t="n">
        <v>18</v>
      </c>
      <c r="U100" s="8" t="n">
        <v>24</v>
      </c>
      <c r="V100" s="8" t="n"/>
      <c r="X100" s="7" t="n"/>
      <c r="Y100" s="7" t="n"/>
      <c r="Z100" s="7">
        <f>IF(OR(X100="",Y100=""),"",X100-Y100)</f>
        <v/>
      </c>
      <c r="AA100" s="7">
        <f>IF(OR($AJ100&lt;&gt;"da",X100=""),"",IFERROR(X100*1000/J100,""))</f>
        <v/>
      </c>
      <c r="AB100" s="7">
        <f>IF(OR($AJ100&lt;&gt;"da",Y100=""),"",IFERROR(Y100*1000/J100,""))</f>
        <v/>
      </c>
      <c r="AC100" s="7">
        <f>IF(OR($AJ100&lt;&gt;"da",Z100=""),"",IFERROR(Z100*1000/J100,""))</f>
        <v/>
      </c>
      <c r="AD100" s="8" t="n"/>
      <c r="AE100" s="8" t="n"/>
      <c r="AF100" s="9" t="n"/>
      <c r="AG100" s="9" t="n"/>
      <c r="AH100" s="9" t="n"/>
      <c r="AI100" s="9" t="n"/>
      <c r="AJ100" t="inlineStr">
        <is>
          <t>nu</t>
        </is>
      </c>
      <c r="AK100" t="inlineStr">
        <is>
          <t>executie_lipsa</t>
        </is>
      </c>
      <c r="AL100" t="inlineStr">
        <is>
          <t>NUTS 2024</t>
        </is>
      </c>
      <c r="AM100" t="inlineStr">
        <is>
          <t>RO4</t>
        </is>
      </c>
      <c r="AN100" t="inlineStr">
        <is>
          <t>Macroregiunea Patru</t>
        </is>
      </c>
      <c r="AO100" t="inlineStr">
        <is>
          <t>RO41</t>
        </is>
      </c>
      <c r="AP100" t="inlineStr">
        <is>
          <t>Sud-Vest Oltenia</t>
        </is>
      </c>
      <c r="AQ100" t="inlineStr">
        <is>
          <t>RO411</t>
        </is>
      </c>
      <c r="AR100" t="inlineStr">
        <is>
          <t>Dolj</t>
        </is>
      </c>
      <c r="AS100" s="9" t="n">
        <v>5.8</v>
      </c>
      <c r="AT100" t="inlineStr">
        <is>
          <t>final</t>
        </is>
      </c>
      <c r="AU100" s="9" t="n"/>
      <c r="AV100" s="9" t="n"/>
    </row>
    <row r="101">
      <c r="A101" t="n">
        <v>2024</v>
      </c>
      <c r="B101" t="inlineStr">
        <is>
          <t>75098</t>
        </is>
      </c>
      <c r="C101" t="inlineStr">
        <is>
          <t>Galați</t>
        </is>
      </c>
      <c r="D101" t="inlineStr">
        <is>
          <t>Galați</t>
        </is>
      </c>
      <c r="E101" t="inlineStr">
        <is>
          <t>da</t>
        </is>
      </c>
      <c r="G101" t="inlineStr">
        <is>
          <t>verified</t>
        </is>
      </c>
      <c r="H101" s="5" t="n">
        <v>88.2</v>
      </c>
      <c r="I101" t="inlineStr">
        <is>
          <t>nu</t>
        </is>
      </c>
      <c r="J101" s="6" t="n">
        <v>217851</v>
      </c>
      <c r="K101" t="inlineStr">
        <is>
          <t>2021-12-01</t>
        </is>
      </c>
      <c r="L101" s="7" t="n">
        <v>246.4</v>
      </c>
      <c r="M101" s="7">
        <f>IFERROR(J101/L101,"")</f>
        <v/>
      </c>
      <c r="N101" s="7" t="n"/>
      <c r="O101" s="7" t="n">
        <v>399391.3</v>
      </c>
      <c r="P101" s="7">
        <f>IF(OR($E101&lt;&gt;"da",N101="",O101=""),"",N101-O101)</f>
        <v/>
      </c>
      <c r="Q101" s="7">
        <f>IF(OR($E101&lt;&gt;"da",N101=""),"",IFERROR(N101*1000/J101,""))</f>
        <v/>
      </c>
      <c r="R101" s="7">
        <f>IF(OR($E101&lt;&gt;"da",O101=""),"",IFERROR(O101*1000/J101,""))</f>
        <v/>
      </c>
      <c r="S101" s="7">
        <f>IF(OR($E101&lt;&gt;"da",P101=""),"",IFERROR(P101*1000/J101,""))</f>
        <v/>
      </c>
      <c r="T101" s="8" t="n">
        <v>24</v>
      </c>
      <c r="U101" s="8" t="n">
        <v>24</v>
      </c>
      <c r="V101" s="8" t="n"/>
      <c r="X101" s="7" t="n"/>
      <c r="Y101" s="7" t="n"/>
      <c r="Z101" s="7">
        <f>IF(OR(X101="",Y101=""),"",X101-Y101)</f>
        <v/>
      </c>
      <c r="AA101" s="7">
        <f>IF(OR($AJ101&lt;&gt;"da",X101=""),"",IFERROR(X101*1000/J101,""))</f>
        <v/>
      </c>
      <c r="AB101" s="7">
        <f>IF(OR($AJ101&lt;&gt;"da",Y101=""),"",IFERROR(Y101*1000/J101,""))</f>
        <v/>
      </c>
      <c r="AC101" s="7">
        <f>IF(OR($AJ101&lt;&gt;"da",Z101=""),"",IFERROR(Z101*1000/J101,""))</f>
        <v/>
      </c>
      <c r="AD101" s="8" t="n"/>
      <c r="AE101" s="8" t="n"/>
      <c r="AF101" s="9" t="n"/>
      <c r="AG101" s="9" t="n"/>
      <c r="AH101" s="9" t="n"/>
      <c r="AI101" s="9" t="n"/>
      <c r="AJ101" t="inlineStr">
        <is>
          <t>nu</t>
        </is>
      </c>
      <c r="AK101" t="inlineStr">
        <is>
          <t>executie_lipsa</t>
        </is>
      </c>
      <c r="AL101" t="inlineStr">
        <is>
          <t>NUTS 2024</t>
        </is>
      </c>
      <c r="AM101" t="inlineStr">
        <is>
          <t>RO2</t>
        </is>
      </c>
      <c r="AN101" t="inlineStr">
        <is>
          <t>Macroregiunea Doi</t>
        </is>
      </c>
      <c r="AO101" t="inlineStr">
        <is>
          <t>RO22</t>
        </is>
      </c>
      <c r="AP101" t="inlineStr">
        <is>
          <t>Sud-Est</t>
        </is>
      </c>
      <c r="AQ101" t="inlineStr">
        <is>
          <t>RO224</t>
        </is>
      </c>
      <c r="AR101" t="inlineStr">
        <is>
          <t>Galați</t>
        </is>
      </c>
      <c r="AS101" s="9" t="n">
        <v>5.8</v>
      </c>
      <c r="AT101" t="inlineStr">
        <is>
          <t>final</t>
        </is>
      </c>
      <c r="AU101" s="9" t="n"/>
      <c r="AV101" s="9" t="n"/>
    </row>
    <row r="102">
      <c r="A102" t="n">
        <v>2024</v>
      </c>
      <c r="B102" t="inlineStr">
        <is>
          <t>100521</t>
        </is>
      </c>
      <c r="C102" t="inlineStr">
        <is>
          <t>Giurgiu</t>
        </is>
      </c>
      <c r="D102" t="inlineStr">
        <is>
          <t>Giurgiu</t>
        </is>
      </c>
      <c r="E102" t="inlineStr">
        <is>
          <t>nu</t>
        </is>
      </c>
      <c r="F102" t="inlineStr">
        <is>
          <t>total_cheltuieli_lipsa</t>
        </is>
      </c>
      <c r="G102" t="inlineStr">
        <is>
          <t>verified</t>
        </is>
      </c>
      <c r="H102" s="5" t="n">
        <v>75.90000000000001</v>
      </c>
      <c r="I102" t="inlineStr">
        <is>
          <t>nu</t>
        </is>
      </c>
      <c r="J102" s="6" t="n">
        <v>54551</v>
      </c>
      <c r="K102" t="inlineStr">
        <is>
          <t>2021-12-01</t>
        </is>
      </c>
      <c r="L102" s="7" t="n">
        <v>46.94</v>
      </c>
      <c r="M102" s="7">
        <f>IFERROR(J102/L102,"")</f>
        <v/>
      </c>
      <c r="N102" s="7" t="n"/>
      <c r="O102" s="7" t="n"/>
      <c r="P102" s="7">
        <f>IF(OR($E102&lt;&gt;"da",N102="",O102=""),"",N102-O102)</f>
        <v/>
      </c>
      <c r="Q102" s="7">
        <f>IF(OR($E102&lt;&gt;"da",N102=""),"",IFERROR(N102*1000/J102,""))</f>
        <v/>
      </c>
      <c r="R102" s="7">
        <f>IF(OR($E102&lt;&gt;"da",O102=""),"",IFERROR(O102*1000/J102,""))</f>
        <v/>
      </c>
      <c r="S102" s="7">
        <f>IF(OR($E102&lt;&gt;"da",P102=""),"",IFERROR(P102*1000/J102,""))</f>
        <v/>
      </c>
      <c r="T102" s="8" t="n"/>
      <c r="U102" s="8" t="n"/>
      <c r="V102" s="8" t="n"/>
      <c r="X102" s="7" t="n"/>
      <c r="Y102" s="7" t="n"/>
      <c r="Z102" s="7">
        <f>IF(OR(X102="",Y102=""),"",X102-Y102)</f>
        <v/>
      </c>
      <c r="AA102" s="7">
        <f>IF(OR($AJ102&lt;&gt;"da",X102=""),"",IFERROR(X102*1000/J102,""))</f>
        <v/>
      </c>
      <c r="AB102" s="7">
        <f>IF(OR($AJ102&lt;&gt;"da",Y102=""),"",IFERROR(Y102*1000/J102,""))</f>
        <v/>
      </c>
      <c r="AC102" s="7">
        <f>IF(OR($AJ102&lt;&gt;"da",Z102=""),"",IFERROR(Z102*1000/J102,""))</f>
        <v/>
      </c>
      <c r="AD102" s="8" t="n"/>
      <c r="AE102" s="8" t="n"/>
      <c r="AF102" s="9" t="n"/>
      <c r="AG102" s="9" t="n"/>
      <c r="AH102" s="9" t="n"/>
      <c r="AI102" s="9" t="n"/>
      <c r="AJ102" t="inlineStr">
        <is>
          <t>nu</t>
        </is>
      </c>
      <c r="AK102" t="inlineStr">
        <is>
          <t>executie_lipsa</t>
        </is>
      </c>
      <c r="AL102" t="inlineStr">
        <is>
          <t>NUTS 2024</t>
        </is>
      </c>
      <c r="AM102" t="inlineStr">
        <is>
          <t>RO3</t>
        </is>
      </c>
      <c r="AN102" t="inlineStr">
        <is>
          <t>Macroregiunea Trei</t>
        </is>
      </c>
      <c r="AO102" t="inlineStr">
        <is>
          <t>RO31</t>
        </is>
      </c>
      <c r="AP102" t="inlineStr">
        <is>
          <t>Sud-Muntenia</t>
        </is>
      </c>
      <c r="AQ102" t="inlineStr">
        <is>
          <t>RO314</t>
        </is>
      </c>
      <c r="AR102" t="inlineStr">
        <is>
          <t>Giurgiu</t>
        </is>
      </c>
      <c r="AS102" s="9" t="n">
        <v>5.8</v>
      </c>
      <c r="AT102" t="inlineStr">
        <is>
          <t>final</t>
        </is>
      </c>
      <c r="AU102" s="9" t="n"/>
      <c r="AV102" s="9" t="n"/>
    </row>
    <row r="103">
      <c r="A103" t="n">
        <v>2024</v>
      </c>
      <c r="B103" t="inlineStr">
        <is>
          <t>77812</t>
        </is>
      </c>
      <c r="C103" t="inlineStr">
        <is>
          <t>Târgu Jiu</t>
        </is>
      </c>
      <c r="D103" t="inlineStr">
        <is>
          <t>Gorj</t>
        </is>
      </c>
      <c r="E103" t="inlineStr">
        <is>
          <t>nu</t>
        </is>
      </c>
      <c r="F103" t="inlineStr">
        <is>
          <t>total_cheltuieli_lipsa</t>
        </is>
      </c>
      <c r="G103" t="inlineStr">
        <is>
          <t>verified</t>
        </is>
      </c>
      <c r="H103" s="5" t="n">
        <v>83</v>
      </c>
      <c r="I103" t="inlineStr">
        <is>
          <t>nu</t>
        </is>
      </c>
      <c r="J103" s="6" t="n">
        <v>73545</v>
      </c>
      <c r="K103" t="inlineStr">
        <is>
          <t>2021-12-01</t>
        </is>
      </c>
      <c r="L103" s="7" t="n">
        <v>161</v>
      </c>
      <c r="M103" s="7">
        <f>IFERROR(J103/L103,"")</f>
        <v/>
      </c>
      <c r="N103" s="7" t="n">
        <v>283422.01</v>
      </c>
      <c r="O103" s="7" t="n"/>
      <c r="P103" s="7">
        <f>IF(OR($E103&lt;&gt;"da",N103="",O103=""),"",N103-O103)</f>
        <v/>
      </c>
      <c r="Q103" s="7">
        <f>IF(OR($E103&lt;&gt;"da",N103=""),"",IFERROR(N103*1000/J103,""))</f>
        <v/>
      </c>
      <c r="R103" s="7">
        <f>IF(OR($E103&lt;&gt;"da",O103=""),"",IFERROR(O103*1000/J103,""))</f>
        <v/>
      </c>
      <c r="S103" s="7">
        <f>IF(OR($E103&lt;&gt;"da",P103=""),"",IFERROR(P103*1000/J103,""))</f>
        <v/>
      </c>
      <c r="T103" s="8" t="n"/>
      <c r="U103" s="8" t="n"/>
      <c r="V103" s="8" t="n"/>
      <c r="X103" s="7" t="n"/>
      <c r="Y103" s="7" t="n"/>
      <c r="Z103" s="7">
        <f>IF(OR(X103="",Y103=""),"",X103-Y103)</f>
        <v/>
      </c>
      <c r="AA103" s="7">
        <f>IF(OR($AJ103&lt;&gt;"da",X103=""),"",IFERROR(X103*1000/J103,""))</f>
        <v/>
      </c>
      <c r="AB103" s="7">
        <f>IF(OR($AJ103&lt;&gt;"da",Y103=""),"",IFERROR(Y103*1000/J103,""))</f>
        <v/>
      </c>
      <c r="AC103" s="7">
        <f>IF(OR($AJ103&lt;&gt;"da",Z103=""),"",IFERROR(Z103*1000/J103,""))</f>
        <v/>
      </c>
      <c r="AD103" s="8" t="n"/>
      <c r="AE103" s="8" t="n"/>
      <c r="AF103" s="9" t="n"/>
      <c r="AG103" s="9" t="n"/>
      <c r="AH103" s="9" t="n"/>
      <c r="AI103" s="9" t="n"/>
      <c r="AJ103" t="inlineStr">
        <is>
          <t>nu</t>
        </is>
      </c>
      <c r="AK103" t="inlineStr">
        <is>
          <t>executie_lipsa</t>
        </is>
      </c>
      <c r="AL103" t="inlineStr">
        <is>
          <t>NUTS 2024</t>
        </is>
      </c>
      <c r="AM103" t="inlineStr">
        <is>
          <t>RO4</t>
        </is>
      </c>
      <c r="AN103" t="inlineStr">
        <is>
          <t>Macroregiunea Patru</t>
        </is>
      </c>
      <c r="AO103" t="inlineStr">
        <is>
          <t>RO41</t>
        </is>
      </c>
      <c r="AP103" t="inlineStr">
        <is>
          <t>Sud-Vest Oltenia</t>
        </is>
      </c>
      <c r="AQ103" t="inlineStr">
        <is>
          <t>RO412</t>
        </is>
      </c>
      <c r="AR103" t="inlineStr">
        <is>
          <t>Gorj</t>
        </is>
      </c>
      <c r="AS103" s="9" t="n">
        <v>5.8</v>
      </c>
      <c r="AT103" t="inlineStr">
        <is>
          <t>final</t>
        </is>
      </c>
      <c r="AU103" s="9" t="n"/>
      <c r="AV103" s="9" t="n"/>
    </row>
    <row r="104">
      <c r="A104" t="n">
        <v>2024</v>
      </c>
      <c r="B104" t="inlineStr">
        <is>
          <t>83320</t>
        </is>
      </c>
      <c r="C104" t="inlineStr">
        <is>
          <t>Miercurea Ciuc</t>
        </is>
      </c>
      <c r="D104" t="inlineStr">
        <is>
          <t>Harghita</t>
        </is>
      </c>
      <c r="E104" t="inlineStr">
        <is>
          <t>da</t>
        </is>
      </c>
      <c r="G104" t="inlineStr">
        <is>
          <t>verified</t>
        </is>
      </c>
      <c r="H104" s="5" t="n">
        <v>86.5</v>
      </c>
      <c r="I104" t="inlineStr">
        <is>
          <t>nu</t>
        </is>
      </c>
      <c r="J104" s="6" t="n">
        <v>34484</v>
      </c>
      <c r="K104" t="inlineStr">
        <is>
          <t>2021-12-01</t>
        </is>
      </c>
      <c r="L104" s="7" t="n">
        <v>117.66</v>
      </c>
      <c r="M104" s="7">
        <f>IFERROR(J104/L104,"")</f>
        <v/>
      </c>
      <c r="N104" s="7" t="n">
        <v>344442.03</v>
      </c>
      <c r="O104" s="7" t="n">
        <v>365412.8</v>
      </c>
      <c r="P104" s="7">
        <f>IF(OR($E104&lt;&gt;"da",N104="",O104=""),"",N104-O104)</f>
        <v/>
      </c>
      <c r="Q104" s="7">
        <f>IF(OR($E104&lt;&gt;"da",N104=""),"",IFERROR(N104*1000/J104,""))</f>
        <v/>
      </c>
      <c r="R104" s="7">
        <f>IF(OR($E104&lt;&gt;"da",O104=""),"",IFERROR(O104*1000/J104,""))</f>
        <v/>
      </c>
      <c r="S104" s="7">
        <f>IF(OR($E104&lt;&gt;"da",P104=""),"",IFERROR(P104*1000/J104,""))</f>
        <v/>
      </c>
      <c r="T104" s="8" t="n">
        <v>3</v>
      </c>
      <c r="U104" s="8" t="n">
        <v>24</v>
      </c>
      <c r="V104" s="8" t="n"/>
      <c r="X104" s="7" t="n"/>
      <c r="Y104" s="7" t="n"/>
      <c r="Z104" s="7">
        <f>IF(OR(X104="",Y104=""),"",X104-Y104)</f>
        <v/>
      </c>
      <c r="AA104" s="7">
        <f>IF(OR($AJ104&lt;&gt;"da",X104=""),"",IFERROR(X104*1000/J104,""))</f>
        <v/>
      </c>
      <c r="AB104" s="7">
        <f>IF(OR($AJ104&lt;&gt;"da",Y104=""),"",IFERROR(Y104*1000/J104,""))</f>
        <v/>
      </c>
      <c r="AC104" s="7">
        <f>IF(OR($AJ104&lt;&gt;"da",Z104=""),"",IFERROR(Z104*1000/J104,""))</f>
        <v/>
      </c>
      <c r="AD104" s="8" t="n"/>
      <c r="AE104" s="8" t="n"/>
      <c r="AF104" s="9" t="n"/>
      <c r="AG104" s="9" t="n"/>
      <c r="AH104" s="9" t="n"/>
      <c r="AI104" s="9" t="n"/>
      <c r="AJ104" t="inlineStr">
        <is>
          <t>nu</t>
        </is>
      </c>
      <c r="AK104" t="inlineStr">
        <is>
          <t>executie_lipsa</t>
        </is>
      </c>
      <c r="AL104" t="inlineStr">
        <is>
          <t>NUTS 2024</t>
        </is>
      </c>
      <c r="AM104" t="inlineStr">
        <is>
          <t>RO1</t>
        </is>
      </c>
      <c r="AN104" t="inlineStr">
        <is>
          <t>Macroregiunea Unu</t>
        </is>
      </c>
      <c r="AO104" t="inlineStr">
        <is>
          <t>RO12</t>
        </is>
      </c>
      <c r="AP104" t="inlineStr">
        <is>
          <t>Centru</t>
        </is>
      </c>
      <c r="AQ104" t="inlineStr">
        <is>
          <t>RO124</t>
        </is>
      </c>
      <c r="AR104" t="inlineStr">
        <is>
          <t>Harghita</t>
        </is>
      </c>
      <c r="AS104" s="9" t="n">
        <v>5.8</v>
      </c>
      <c r="AT104" t="inlineStr">
        <is>
          <t>final</t>
        </is>
      </c>
      <c r="AU104" s="9" t="n"/>
      <c r="AV104" s="9" t="n"/>
    </row>
    <row r="105">
      <c r="A105" t="n">
        <v>2024</v>
      </c>
      <c r="B105" t="inlineStr">
        <is>
          <t>86687</t>
        </is>
      </c>
      <c r="C105" t="inlineStr">
        <is>
          <t>Deva</t>
        </is>
      </c>
      <c r="D105" t="inlineStr">
        <is>
          <t>Hunedoara</t>
        </is>
      </c>
      <c r="E105" t="inlineStr">
        <is>
          <t>nu</t>
        </is>
      </c>
      <c r="F105" t="inlineStr">
        <is>
          <t>total_cheltuieli_lipsa</t>
        </is>
      </c>
      <c r="G105" t="inlineStr">
        <is>
          <t>verified</t>
        </is>
      </c>
      <c r="H105" s="5" t="n">
        <v>47.9</v>
      </c>
      <c r="I105" t="inlineStr">
        <is>
          <t>nu</t>
        </is>
      </c>
      <c r="J105" s="6" t="n">
        <v>53113</v>
      </c>
      <c r="K105" t="inlineStr">
        <is>
          <t>2021-12-01</t>
        </is>
      </c>
      <c r="L105" s="7" t="n">
        <v>34</v>
      </c>
      <c r="M105" s="7">
        <f>IFERROR(J105/L105,"")</f>
        <v/>
      </c>
      <c r="N105" s="7" t="n">
        <v>430467.31</v>
      </c>
      <c r="O105" s="7" t="n"/>
      <c r="P105" s="7">
        <f>IF(OR($E105&lt;&gt;"da",N105="",O105=""),"",N105-O105)</f>
        <v/>
      </c>
      <c r="Q105" s="7">
        <f>IF(OR($E105&lt;&gt;"da",N105=""),"",IFERROR(N105*1000/J105,""))</f>
        <v/>
      </c>
      <c r="R105" s="7">
        <f>IF(OR($E105&lt;&gt;"da",O105=""),"",IFERROR(O105*1000/J105,""))</f>
        <v/>
      </c>
      <c r="S105" s="7">
        <f>IF(OR($E105&lt;&gt;"da",P105=""),"",IFERROR(P105*1000/J105,""))</f>
        <v/>
      </c>
      <c r="T105" s="8" t="n"/>
      <c r="U105" s="8" t="n"/>
      <c r="V105" s="8" t="n"/>
      <c r="X105" s="7" t="n"/>
      <c r="Y105" s="7" t="n"/>
      <c r="Z105" s="7">
        <f>IF(OR(X105="",Y105=""),"",X105-Y105)</f>
        <v/>
      </c>
      <c r="AA105" s="7">
        <f>IF(OR($AJ105&lt;&gt;"da",X105=""),"",IFERROR(X105*1000/J105,""))</f>
        <v/>
      </c>
      <c r="AB105" s="7">
        <f>IF(OR($AJ105&lt;&gt;"da",Y105=""),"",IFERROR(Y105*1000/J105,""))</f>
        <v/>
      </c>
      <c r="AC105" s="7">
        <f>IF(OR($AJ105&lt;&gt;"da",Z105=""),"",IFERROR(Z105*1000/J105,""))</f>
        <v/>
      </c>
      <c r="AD105" s="8" t="n"/>
      <c r="AE105" s="8" t="n"/>
      <c r="AF105" s="9" t="n"/>
      <c r="AG105" s="9" t="n"/>
      <c r="AH105" s="9" t="n"/>
      <c r="AI105" s="9" t="n"/>
      <c r="AJ105" t="inlineStr">
        <is>
          <t>nu</t>
        </is>
      </c>
      <c r="AK105" t="inlineStr">
        <is>
          <t>executie_lipsa</t>
        </is>
      </c>
      <c r="AL105" t="inlineStr">
        <is>
          <t>NUTS 2024</t>
        </is>
      </c>
      <c r="AM105" t="inlineStr">
        <is>
          <t>RO4</t>
        </is>
      </c>
      <c r="AN105" t="inlineStr">
        <is>
          <t>Macroregiunea Patru</t>
        </is>
      </c>
      <c r="AO105" t="inlineStr">
        <is>
          <t>RO42</t>
        </is>
      </c>
      <c r="AP105" t="inlineStr">
        <is>
          <t>Vest</t>
        </is>
      </c>
      <c r="AQ105" t="inlineStr">
        <is>
          <t>RO423</t>
        </is>
      </c>
      <c r="AR105" t="inlineStr">
        <is>
          <t>Hunedoara</t>
        </is>
      </c>
      <c r="AS105" s="9" t="n">
        <v>5.8</v>
      </c>
      <c r="AT105" t="inlineStr">
        <is>
          <t>final</t>
        </is>
      </c>
      <c r="AU105" s="9" t="n"/>
      <c r="AV105" s="9" t="n"/>
    </row>
    <row r="106">
      <c r="A106" t="n">
        <v>2024</v>
      </c>
      <c r="B106" t="inlineStr">
        <is>
          <t>92658</t>
        </is>
      </c>
      <c r="C106" t="inlineStr">
        <is>
          <t>Slobozia</t>
        </is>
      </c>
      <c r="D106" t="inlineStr">
        <is>
          <t>Ialomița</t>
        </is>
      </c>
      <c r="E106" t="inlineStr">
        <is>
          <t>da</t>
        </is>
      </c>
      <c r="G106" t="inlineStr">
        <is>
          <t>verified</t>
        </is>
      </c>
      <c r="H106" s="5" t="n">
        <v>89.8</v>
      </c>
      <c r="I106" t="inlineStr">
        <is>
          <t>nu</t>
        </is>
      </c>
      <c r="J106" s="6" t="n">
        <v>41550</v>
      </c>
      <c r="K106" t="inlineStr">
        <is>
          <t>2021-12-01</t>
        </is>
      </c>
      <c r="L106" s="7" t="n">
        <v>132.87</v>
      </c>
      <c r="M106" s="7">
        <f>IFERROR(J106/L106,"")</f>
        <v/>
      </c>
      <c r="N106" s="7" t="n">
        <v>218989.521</v>
      </c>
      <c r="O106" s="7" t="n">
        <v>236490.727</v>
      </c>
      <c r="P106" s="7">
        <f>IF(OR($E106&lt;&gt;"da",N106="",O106=""),"",N106-O106)</f>
        <v/>
      </c>
      <c r="Q106" s="7">
        <f>IF(OR($E106&lt;&gt;"da",N106=""),"",IFERROR(N106*1000/J106,""))</f>
        <v/>
      </c>
      <c r="R106" s="7">
        <f>IF(OR($E106&lt;&gt;"da",O106=""),"",IFERROR(O106*1000/J106,""))</f>
        <v/>
      </c>
      <c r="S106" s="7">
        <f>IF(OR($E106&lt;&gt;"da",P106=""),"",IFERROR(P106*1000/J106,""))</f>
        <v/>
      </c>
      <c r="T106" s="8" t="n">
        <v>17</v>
      </c>
      <c r="U106" s="8" t="n">
        <v>24</v>
      </c>
      <c r="V106" s="8" t="n"/>
      <c r="X106" s="7" t="n"/>
      <c r="Y106" s="7" t="n"/>
      <c r="Z106" s="7">
        <f>IF(OR(X106="",Y106=""),"",X106-Y106)</f>
        <v/>
      </c>
      <c r="AA106" s="7">
        <f>IF(OR($AJ106&lt;&gt;"da",X106=""),"",IFERROR(X106*1000/J106,""))</f>
        <v/>
      </c>
      <c r="AB106" s="7">
        <f>IF(OR($AJ106&lt;&gt;"da",Y106=""),"",IFERROR(Y106*1000/J106,""))</f>
        <v/>
      </c>
      <c r="AC106" s="7">
        <f>IF(OR($AJ106&lt;&gt;"da",Z106=""),"",IFERROR(Z106*1000/J106,""))</f>
        <v/>
      </c>
      <c r="AD106" s="8" t="n"/>
      <c r="AE106" s="8" t="n"/>
      <c r="AF106" s="9" t="n"/>
      <c r="AG106" s="9" t="n"/>
      <c r="AH106" s="9" t="n"/>
      <c r="AI106" s="9" t="n"/>
      <c r="AJ106" t="inlineStr">
        <is>
          <t>nu</t>
        </is>
      </c>
      <c r="AK106" t="inlineStr">
        <is>
          <t>executie_lipsa</t>
        </is>
      </c>
      <c r="AL106" t="inlineStr">
        <is>
          <t>NUTS 2024</t>
        </is>
      </c>
      <c r="AM106" t="inlineStr">
        <is>
          <t>RO3</t>
        </is>
      </c>
      <c r="AN106" t="inlineStr">
        <is>
          <t>Macroregiunea Trei</t>
        </is>
      </c>
      <c r="AO106" t="inlineStr">
        <is>
          <t>RO31</t>
        </is>
      </c>
      <c r="AP106" t="inlineStr">
        <is>
          <t>Sud-Muntenia</t>
        </is>
      </c>
      <c r="AQ106" t="inlineStr">
        <is>
          <t>RO315</t>
        </is>
      </c>
      <c r="AR106" t="inlineStr">
        <is>
          <t>Ialomița</t>
        </is>
      </c>
      <c r="AS106" s="9" t="n">
        <v>5.8</v>
      </c>
      <c r="AT106" t="inlineStr">
        <is>
          <t>final</t>
        </is>
      </c>
      <c r="AU106" s="9" t="n"/>
      <c r="AV106" s="9" t="n"/>
    </row>
    <row r="107">
      <c r="A107" t="n">
        <v>2024</v>
      </c>
      <c r="B107" t="inlineStr">
        <is>
          <t>95060</t>
        </is>
      </c>
      <c r="C107" t="inlineStr">
        <is>
          <t>Iași</t>
        </is>
      </c>
      <c r="D107" t="inlineStr">
        <is>
          <t>Iași</t>
        </is>
      </c>
      <c r="E107" t="inlineStr">
        <is>
          <t>nu</t>
        </is>
      </c>
      <c r="F107" t="inlineStr">
        <is>
          <t>total_cheltuieli_lipsa</t>
        </is>
      </c>
      <c r="G107" t="inlineStr">
        <is>
          <t>verified</t>
        </is>
      </c>
      <c r="H107" s="5" t="n">
        <v>94.40000000000001</v>
      </c>
      <c r="I107" t="inlineStr">
        <is>
          <t>nu</t>
        </is>
      </c>
      <c r="J107" s="6" t="n">
        <v>271692</v>
      </c>
      <c r="K107" t="inlineStr">
        <is>
          <t>2021-12-01</t>
        </is>
      </c>
      <c r="L107" s="7" t="n">
        <v>94</v>
      </c>
      <c r="M107" s="7">
        <f>IFERROR(J107/L107,"")</f>
        <v/>
      </c>
      <c r="N107" s="7" t="n">
        <v>1729806.14</v>
      </c>
      <c r="O107" s="7" t="n"/>
      <c r="P107" s="7">
        <f>IF(OR($E107&lt;&gt;"da",N107="",O107=""),"",N107-O107)</f>
        <v/>
      </c>
      <c r="Q107" s="7">
        <f>IF(OR($E107&lt;&gt;"da",N107=""),"",IFERROR(N107*1000/J107,""))</f>
        <v/>
      </c>
      <c r="R107" s="7">
        <f>IF(OR($E107&lt;&gt;"da",O107=""),"",IFERROR(O107*1000/J107,""))</f>
        <v/>
      </c>
      <c r="S107" s="7">
        <f>IF(OR($E107&lt;&gt;"da",P107=""),"",IFERROR(P107*1000/J107,""))</f>
        <v/>
      </c>
      <c r="T107" s="8" t="n"/>
      <c r="U107" s="8" t="n"/>
      <c r="V107" s="8" t="n"/>
      <c r="X107" s="7" t="n"/>
      <c r="Y107" s="7" t="n"/>
      <c r="Z107" s="7">
        <f>IF(OR(X107="",Y107=""),"",X107-Y107)</f>
        <v/>
      </c>
      <c r="AA107" s="7">
        <f>IF(OR($AJ107&lt;&gt;"da",X107=""),"",IFERROR(X107*1000/J107,""))</f>
        <v/>
      </c>
      <c r="AB107" s="7">
        <f>IF(OR($AJ107&lt;&gt;"da",Y107=""),"",IFERROR(Y107*1000/J107,""))</f>
        <v/>
      </c>
      <c r="AC107" s="7">
        <f>IF(OR($AJ107&lt;&gt;"da",Z107=""),"",IFERROR(Z107*1000/J107,""))</f>
        <v/>
      </c>
      <c r="AD107" s="8" t="n"/>
      <c r="AE107" s="8" t="n"/>
      <c r="AF107" s="9" t="n"/>
      <c r="AG107" s="9" t="n"/>
      <c r="AH107" s="9" t="n"/>
      <c r="AI107" s="9" t="n"/>
      <c r="AJ107" t="inlineStr">
        <is>
          <t>nu</t>
        </is>
      </c>
      <c r="AK107" t="inlineStr">
        <is>
          <t>executie_lipsa</t>
        </is>
      </c>
      <c r="AL107" t="inlineStr">
        <is>
          <t>NUTS 2024</t>
        </is>
      </c>
      <c r="AM107" t="inlineStr">
        <is>
          <t>RO2</t>
        </is>
      </c>
      <c r="AN107" t="inlineStr">
        <is>
          <t>Macroregiunea Doi</t>
        </is>
      </c>
      <c r="AO107" t="inlineStr">
        <is>
          <t>RO21</t>
        </is>
      </c>
      <c r="AP107" t="inlineStr">
        <is>
          <t>Nord-Est</t>
        </is>
      </c>
      <c r="AQ107" t="inlineStr">
        <is>
          <t>RO213</t>
        </is>
      </c>
      <c r="AR107" t="inlineStr">
        <is>
          <t>Iași</t>
        </is>
      </c>
      <c r="AS107" s="9" t="n">
        <v>5.8</v>
      </c>
      <c r="AT107" t="inlineStr">
        <is>
          <t>final</t>
        </is>
      </c>
      <c r="AU107" s="9" t="n"/>
      <c r="AV107" s="9" t="n"/>
    </row>
    <row r="108">
      <c r="A108" t="n">
        <v>2024</v>
      </c>
      <c r="B108" t="inlineStr">
        <is>
          <t>106318</t>
        </is>
      </c>
      <c r="C108" t="inlineStr">
        <is>
          <t>Baia Mare</t>
        </is>
      </c>
      <c r="D108" t="inlineStr">
        <is>
          <t>Maramureș</t>
        </is>
      </c>
      <c r="E108" t="inlineStr">
        <is>
          <t>da</t>
        </is>
      </c>
      <c r="G108" t="inlineStr">
        <is>
          <t>verified</t>
        </is>
      </c>
      <c r="H108" s="5" t="n">
        <v>84.09999999999999</v>
      </c>
      <c r="I108" t="inlineStr">
        <is>
          <t>nu</t>
        </is>
      </c>
      <c r="J108" s="6" t="n">
        <v>108759</v>
      </c>
      <c r="K108" t="inlineStr">
        <is>
          <t>2021-12-01</t>
        </is>
      </c>
      <c r="L108" s="7" t="n">
        <v>236</v>
      </c>
      <c r="M108" s="7">
        <f>IFERROR(J108/L108,"")</f>
        <v/>
      </c>
      <c r="N108" s="7" t="n">
        <v>782636</v>
      </c>
      <c r="O108" s="7" t="n">
        <v>792557</v>
      </c>
      <c r="P108" s="7">
        <f>IF(OR($E108&lt;&gt;"da",N108="",O108=""),"",N108-O108)</f>
        <v/>
      </c>
      <c r="Q108" s="7">
        <f>IF(OR($E108&lt;&gt;"da",N108=""),"",IFERROR(N108*1000/J108,""))</f>
        <v/>
      </c>
      <c r="R108" s="7">
        <f>IF(OR($E108&lt;&gt;"da",O108=""),"",IFERROR(O108*1000/J108,""))</f>
        <v/>
      </c>
      <c r="S108" s="7">
        <f>IF(OR($E108&lt;&gt;"da",P108=""),"",IFERROR(P108*1000/J108,""))</f>
        <v/>
      </c>
      <c r="T108" s="8" t="n">
        <v>11</v>
      </c>
      <c r="U108" s="8" t="n">
        <v>24</v>
      </c>
      <c r="V108" s="8" t="n"/>
      <c r="X108" s="7" t="n"/>
      <c r="Y108" s="7" t="n"/>
      <c r="Z108" s="7">
        <f>IF(OR(X108="",Y108=""),"",X108-Y108)</f>
        <v/>
      </c>
      <c r="AA108" s="7">
        <f>IF(OR($AJ108&lt;&gt;"da",X108=""),"",IFERROR(X108*1000/J108,""))</f>
        <v/>
      </c>
      <c r="AB108" s="7">
        <f>IF(OR($AJ108&lt;&gt;"da",Y108=""),"",IFERROR(Y108*1000/J108,""))</f>
        <v/>
      </c>
      <c r="AC108" s="7">
        <f>IF(OR($AJ108&lt;&gt;"da",Z108=""),"",IFERROR(Z108*1000/J108,""))</f>
        <v/>
      </c>
      <c r="AD108" s="8" t="n"/>
      <c r="AE108" s="8" t="n"/>
      <c r="AF108" s="9" t="n"/>
      <c r="AG108" s="9" t="n"/>
      <c r="AH108" s="9" t="n"/>
      <c r="AI108" s="9" t="n"/>
      <c r="AJ108" t="inlineStr">
        <is>
          <t>nu</t>
        </is>
      </c>
      <c r="AK108" t="inlineStr">
        <is>
          <t>executie_lipsa</t>
        </is>
      </c>
      <c r="AL108" t="inlineStr">
        <is>
          <t>NUTS 2024</t>
        </is>
      </c>
      <c r="AM108" t="inlineStr">
        <is>
          <t>RO1</t>
        </is>
      </c>
      <c r="AN108" t="inlineStr">
        <is>
          <t>Macroregiunea Unu</t>
        </is>
      </c>
      <c r="AO108" t="inlineStr">
        <is>
          <t>RO11</t>
        </is>
      </c>
      <c r="AP108" t="inlineStr">
        <is>
          <t>Nord-Vest</t>
        </is>
      </c>
      <c r="AQ108" t="inlineStr">
        <is>
          <t>RO114</t>
        </is>
      </c>
      <c r="AR108" t="inlineStr">
        <is>
          <t>Maramureș</t>
        </is>
      </c>
      <c r="AS108" s="9" t="n">
        <v>5.8</v>
      </c>
      <c r="AT108" t="inlineStr">
        <is>
          <t>final</t>
        </is>
      </c>
      <c r="AU108" s="9" t="n"/>
      <c r="AV108" s="9" t="n"/>
    </row>
    <row r="109">
      <c r="A109" t="n">
        <v>2024</v>
      </c>
      <c r="B109" t="inlineStr">
        <is>
          <t>109773</t>
        </is>
      </c>
      <c r="C109" t="inlineStr">
        <is>
          <t>Drobeta-Turnu Severin</t>
        </is>
      </c>
      <c r="D109" t="inlineStr">
        <is>
          <t>Mehedinți</t>
        </is>
      </c>
      <c r="E109" t="inlineStr">
        <is>
          <t>nu</t>
        </is>
      </c>
      <c r="F109" t="inlineStr">
        <is>
          <t>status_missing_pdf</t>
        </is>
      </c>
      <c r="H109" s="5" t="n"/>
      <c r="J109" s="6" t="n">
        <v>79865</v>
      </c>
      <c r="K109" t="inlineStr">
        <is>
          <t>2021-12-01</t>
        </is>
      </c>
      <c r="L109" s="7" t="n">
        <v>57.43</v>
      </c>
      <c r="M109" s="7">
        <f>IFERROR(J109/L109,"")</f>
        <v/>
      </c>
      <c r="N109" s="7" t="n"/>
      <c r="O109" s="7" t="n"/>
      <c r="P109" s="7">
        <f>IF(OR($E109&lt;&gt;"da",N109="",O109=""),"",N109-O109)</f>
        <v/>
      </c>
      <c r="Q109" s="7">
        <f>IF(OR($E109&lt;&gt;"da",N109=""),"",IFERROR(N109*1000/J109,""))</f>
        <v/>
      </c>
      <c r="R109" s="7">
        <f>IF(OR($E109&lt;&gt;"da",O109=""),"",IFERROR(O109*1000/J109,""))</f>
        <v/>
      </c>
      <c r="S109" s="7">
        <f>IF(OR($E109&lt;&gt;"da",P109=""),"",IFERROR(P109*1000/J109,""))</f>
        <v/>
      </c>
      <c r="T109" s="8" t="n"/>
      <c r="U109" s="8" t="n"/>
      <c r="V109" s="8" t="n"/>
      <c r="X109" s="7" t="n"/>
      <c r="Y109" s="7" t="n"/>
      <c r="Z109" s="7">
        <f>IF(OR(X109="",Y109=""),"",X109-Y109)</f>
        <v/>
      </c>
      <c r="AA109" s="7">
        <f>IF(OR($AJ109&lt;&gt;"da",X109=""),"",IFERROR(X109*1000/J109,""))</f>
        <v/>
      </c>
      <c r="AB109" s="7">
        <f>IF(OR($AJ109&lt;&gt;"da",Y109=""),"",IFERROR(Y109*1000/J109,""))</f>
        <v/>
      </c>
      <c r="AC109" s="7">
        <f>IF(OR($AJ109&lt;&gt;"da",Z109=""),"",IFERROR(Z109*1000/J109,""))</f>
        <v/>
      </c>
      <c r="AD109" s="8" t="n"/>
      <c r="AE109" s="8" t="n"/>
      <c r="AF109" s="9" t="n"/>
      <c r="AG109" s="9" t="n"/>
      <c r="AH109" s="9" t="n"/>
      <c r="AI109" s="9" t="n"/>
      <c r="AJ109" t="inlineStr">
        <is>
          <t>nu</t>
        </is>
      </c>
      <c r="AK109" t="inlineStr">
        <is>
          <t>executie_lipsa</t>
        </is>
      </c>
      <c r="AL109" t="inlineStr">
        <is>
          <t>NUTS 2024</t>
        </is>
      </c>
      <c r="AM109" t="inlineStr">
        <is>
          <t>RO4</t>
        </is>
      </c>
      <c r="AN109" t="inlineStr">
        <is>
          <t>Macroregiunea Patru</t>
        </is>
      </c>
      <c r="AO109" t="inlineStr">
        <is>
          <t>RO41</t>
        </is>
      </c>
      <c r="AP109" t="inlineStr">
        <is>
          <t>Sud-Vest Oltenia</t>
        </is>
      </c>
      <c r="AQ109" t="inlineStr">
        <is>
          <t>RO413</t>
        </is>
      </c>
      <c r="AR109" t="inlineStr">
        <is>
          <t>Mehedinți</t>
        </is>
      </c>
      <c r="AS109" s="9" t="n">
        <v>5.8</v>
      </c>
      <c r="AT109" t="inlineStr">
        <is>
          <t>final</t>
        </is>
      </c>
      <c r="AU109" s="9" t="n"/>
      <c r="AV109" s="9" t="n"/>
    </row>
    <row r="110">
      <c r="A110" t="n">
        <v>2024</v>
      </c>
      <c r="B110" t="inlineStr">
        <is>
          <t>114319</t>
        </is>
      </c>
      <c r="C110" t="inlineStr">
        <is>
          <t>Târgu Mureș</t>
        </is>
      </c>
      <c r="D110" t="inlineStr">
        <is>
          <t>Mureș</t>
        </is>
      </c>
      <c r="E110" t="inlineStr">
        <is>
          <t>nu</t>
        </is>
      </c>
      <c r="F110" t="inlineStr">
        <is>
          <t>total_cheltuieli_lipsa</t>
        </is>
      </c>
      <c r="G110" t="inlineStr">
        <is>
          <t>verified</t>
        </is>
      </c>
      <c r="H110" s="5" t="n">
        <v>90.59999999999999</v>
      </c>
      <c r="I110" t="inlineStr">
        <is>
          <t>nu</t>
        </is>
      </c>
      <c r="J110" s="6" t="n">
        <v>116033</v>
      </c>
      <c r="K110" t="inlineStr">
        <is>
          <t>2021-12-01</t>
        </is>
      </c>
      <c r="L110" s="7" t="n">
        <v>66.95999999999999</v>
      </c>
      <c r="M110" s="7">
        <f>IFERROR(J110/L110,"")</f>
        <v/>
      </c>
      <c r="N110" s="7" t="n">
        <v>604574</v>
      </c>
      <c r="O110" s="7" t="n"/>
      <c r="P110" s="7">
        <f>IF(OR($E110&lt;&gt;"da",N110="",O110=""),"",N110-O110)</f>
        <v/>
      </c>
      <c r="Q110" s="7">
        <f>IF(OR($E110&lt;&gt;"da",N110=""),"",IFERROR(N110*1000/J110,""))</f>
        <v/>
      </c>
      <c r="R110" s="7">
        <f>IF(OR($E110&lt;&gt;"da",O110=""),"",IFERROR(O110*1000/J110,""))</f>
        <v/>
      </c>
      <c r="S110" s="7">
        <f>IF(OR($E110&lt;&gt;"da",P110=""),"",IFERROR(P110*1000/J110,""))</f>
        <v/>
      </c>
      <c r="T110" s="8" t="n"/>
      <c r="U110" s="8" t="n"/>
      <c r="V110" s="8" t="n"/>
      <c r="X110" s="7" t="n"/>
      <c r="Y110" s="7" t="n"/>
      <c r="Z110" s="7">
        <f>IF(OR(X110="",Y110=""),"",X110-Y110)</f>
        <v/>
      </c>
      <c r="AA110" s="7">
        <f>IF(OR($AJ110&lt;&gt;"da",X110=""),"",IFERROR(X110*1000/J110,""))</f>
        <v/>
      </c>
      <c r="AB110" s="7">
        <f>IF(OR($AJ110&lt;&gt;"da",Y110=""),"",IFERROR(Y110*1000/J110,""))</f>
        <v/>
      </c>
      <c r="AC110" s="7">
        <f>IF(OR($AJ110&lt;&gt;"da",Z110=""),"",IFERROR(Z110*1000/J110,""))</f>
        <v/>
      </c>
      <c r="AD110" s="8" t="n"/>
      <c r="AE110" s="8" t="n"/>
      <c r="AF110" s="9" t="n"/>
      <c r="AG110" s="9" t="n"/>
      <c r="AH110" s="9" t="n"/>
      <c r="AI110" s="9" t="n"/>
      <c r="AJ110" t="inlineStr">
        <is>
          <t>nu</t>
        </is>
      </c>
      <c r="AK110" t="inlineStr">
        <is>
          <t>executie_lipsa</t>
        </is>
      </c>
      <c r="AL110" t="inlineStr">
        <is>
          <t>NUTS 2024</t>
        </is>
      </c>
      <c r="AM110" t="inlineStr">
        <is>
          <t>RO1</t>
        </is>
      </c>
      <c r="AN110" t="inlineStr">
        <is>
          <t>Macroregiunea Unu</t>
        </is>
      </c>
      <c r="AO110" t="inlineStr">
        <is>
          <t>RO12</t>
        </is>
      </c>
      <c r="AP110" t="inlineStr">
        <is>
          <t>Centru</t>
        </is>
      </c>
      <c r="AQ110" t="inlineStr">
        <is>
          <t>RO125</t>
        </is>
      </c>
      <c r="AR110" t="inlineStr">
        <is>
          <t>Mureș</t>
        </is>
      </c>
      <c r="AS110" s="9" t="n">
        <v>5.8</v>
      </c>
      <c r="AT110" t="inlineStr">
        <is>
          <t>final</t>
        </is>
      </c>
      <c r="AU110" s="9" t="n"/>
      <c r="AV110" s="9" t="n"/>
    </row>
    <row r="111">
      <c r="A111" t="n">
        <v>2024</v>
      </c>
      <c r="B111" t="inlineStr">
        <is>
          <t>120726</t>
        </is>
      </c>
      <c r="C111" t="inlineStr">
        <is>
          <t>Piatra-Neamț</t>
        </is>
      </c>
      <c r="D111" t="inlineStr">
        <is>
          <t>Neamț</t>
        </is>
      </c>
      <c r="E111" t="inlineStr">
        <is>
          <t>da</t>
        </is>
      </c>
      <c r="G111" t="inlineStr">
        <is>
          <t>verified</t>
        </is>
      </c>
      <c r="H111" s="5" t="n">
        <v>87.40000000000001</v>
      </c>
      <c r="I111" t="inlineStr">
        <is>
          <t>nu</t>
        </is>
      </c>
      <c r="J111" s="6" t="n">
        <v>79679</v>
      </c>
      <c r="K111" t="inlineStr">
        <is>
          <t>2021-12-01</t>
        </is>
      </c>
      <c r="L111" s="7" t="n">
        <v>77.40000000000001</v>
      </c>
      <c r="M111" s="7">
        <f>IFERROR(J111/L111,"")</f>
        <v/>
      </c>
      <c r="N111" s="7" t="n">
        <v>542338.66</v>
      </c>
      <c r="O111" s="7" t="n">
        <v>553874.83</v>
      </c>
      <c r="P111" s="7">
        <f>IF(OR($E111&lt;&gt;"da",N111="",O111=""),"",N111-O111)</f>
        <v/>
      </c>
      <c r="Q111" s="7">
        <f>IF(OR($E111&lt;&gt;"da",N111=""),"",IFERROR(N111*1000/J111,""))</f>
        <v/>
      </c>
      <c r="R111" s="7">
        <f>IF(OR($E111&lt;&gt;"da",O111=""),"",IFERROR(O111*1000/J111,""))</f>
        <v/>
      </c>
      <c r="S111" s="7">
        <f>IF(OR($E111&lt;&gt;"da",P111=""),"",IFERROR(P111*1000/J111,""))</f>
        <v/>
      </c>
      <c r="T111" s="8" t="n">
        <v>13</v>
      </c>
      <c r="U111" s="8" t="n">
        <v>24</v>
      </c>
      <c r="V111" s="8" t="n"/>
      <c r="X111" s="7" t="n"/>
      <c r="Y111" s="7" t="n"/>
      <c r="Z111" s="7">
        <f>IF(OR(X111="",Y111=""),"",X111-Y111)</f>
        <v/>
      </c>
      <c r="AA111" s="7">
        <f>IF(OR($AJ111&lt;&gt;"da",X111=""),"",IFERROR(X111*1000/J111,""))</f>
        <v/>
      </c>
      <c r="AB111" s="7">
        <f>IF(OR($AJ111&lt;&gt;"da",Y111=""),"",IFERROR(Y111*1000/J111,""))</f>
        <v/>
      </c>
      <c r="AC111" s="7">
        <f>IF(OR($AJ111&lt;&gt;"da",Z111=""),"",IFERROR(Z111*1000/J111,""))</f>
        <v/>
      </c>
      <c r="AD111" s="8" t="n"/>
      <c r="AE111" s="8" t="n"/>
      <c r="AF111" s="9" t="n"/>
      <c r="AG111" s="9" t="n"/>
      <c r="AH111" s="9" t="n"/>
      <c r="AI111" s="9" t="n"/>
      <c r="AJ111" t="inlineStr">
        <is>
          <t>nu</t>
        </is>
      </c>
      <c r="AK111" t="inlineStr">
        <is>
          <t>executie_lipsa</t>
        </is>
      </c>
      <c r="AL111" t="inlineStr">
        <is>
          <t>NUTS 2024</t>
        </is>
      </c>
      <c r="AM111" t="inlineStr">
        <is>
          <t>RO2</t>
        </is>
      </c>
      <c r="AN111" t="inlineStr">
        <is>
          <t>Macroregiunea Doi</t>
        </is>
      </c>
      <c r="AO111" t="inlineStr">
        <is>
          <t>RO21</t>
        </is>
      </c>
      <c r="AP111" t="inlineStr">
        <is>
          <t>Nord-Est</t>
        </is>
      </c>
      <c r="AQ111" t="inlineStr">
        <is>
          <t>RO214</t>
        </is>
      </c>
      <c r="AR111" t="inlineStr">
        <is>
          <t>Neamț</t>
        </is>
      </c>
      <c r="AS111" s="9" t="n">
        <v>5.8</v>
      </c>
      <c r="AT111" t="inlineStr">
        <is>
          <t>final</t>
        </is>
      </c>
      <c r="AU111" s="9" t="n"/>
      <c r="AV111" s="9" t="n"/>
    </row>
    <row r="112">
      <c r="A112" t="n">
        <v>2024</v>
      </c>
      <c r="B112" t="inlineStr">
        <is>
          <t>125347</t>
        </is>
      </c>
      <c r="C112" t="inlineStr">
        <is>
          <t>Slatina</t>
        </is>
      </c>
      <c r="D112" t="inlineStr">
        <is>
          <t>Olt</t>
        </is>
      </c>
      <c r="E112" t="inlineStr">
        <is>
          <t>nu</t>
        </is>
      </c>
      <c r="F112" t="inlineStr">
        <is>
          <t>total_cheltuieli_lipsa</t>
        </is>
      </c>
      <c r="G112" t="inlineStr">
        <is>
          <t>verified</t>
        </is>
      </c>
      <c r="H112" s="5" t="n">
        <v>100</v>
      </c>
      <c r="I112" t="inlineStr">
        <is>
          <t>nu</t>
        </is>
      </c>
      <c r="J112" s="6" t="n">
        <v>63487</v>
      </c>
      <c r="K112" t="inlineStr">
        <is>
          <t>2021-12-01</t>
        </is>
      </c>
      <c r="L112" s="7" t="n">
        <v>53.93</v>
      </c>
      <c r="M112" s="7">
        <f>IFERROR(J112/L112,"")</f>
        <v/>
      </c>
      <c r="N112" s="7" t="n"/>
      <c r="O112" s="7" t="n"/>
      <c r="P112" s="7">
        <f>IF(OR($E112&lt;&gt;"da",N112="",O112=""),"",N112-O112)</f>
        <v/>
      </c>
      <c r="Q112" s="7">
        <f>IF(OR($E112&lt;&gt;"da",N112=""),"",IFERROR(N112*1000/J112,""))</f>
        <v/>
      </c>
      <c r="R112" s="7">
        <f>IF(OR($E112&lt;&gt;"da",O112=""),"",IFERROR(O112*1000/J112,""))</f>
        <v/>
      </c>
      <c r="S112" s="7">
        <f>IF(OR($E112&lt;&gt;"da",P112=""),"",IFERROR(P112*1000/J112,""))</f>
        <v/>
      </c>
      <c r="T112" s="8" t="n"/>
      <c r="U112" s="8" t="n"/>
      <c r="V112" s="8" t="n"/>
      <c r="X112" s="7" t="n"/>
      <c r="Y112" s="7" t="n"/>
      <c r="Z112" s="7">
        <f>IF(OR(X112="",Y112=""),"",X112-Y112)</f>
        <v/>
      </c>
      <c r="AA112" s="7">
        <f>IF(OR($AJ112&lt;&gt;"da",X112=""),"",IFERROR(X112*1000/J112,""))</f>
        <v/>
      </c>
      <c r="AB112" s="7">
        <f>IF(OR($AJ112&lt;&gt;"da",Y112=""),"",IFERROR(Y112*1000/J112,""))</f>
        <v/>
      </c>
      <c r="AC112" s="7">
        <f>IF(OR($AJ112&lt;&gt;"da",Z112=""),"",IFERROR(Z112*1000/J112,""))</f>
        <v/>
      </c>
      <c r="AD112" s="8" t="n"/>
      <c r="AE112" s="8" t="n"/>
      <c r="AF112" s="9" t="n"/>
      <c r="AG112" s="9" t="n"/>
      <c r="AH112" s="9" t="n"/>
      <c r="AI112" s="9" t="n"/>
      <c r="AJ112" t="inlineStr">
        <is>
          <t>nu</t>
        </is>
      </c>
      <c r="AK112" t="inlineStr">
        <is>
          <t>executie_lipsa</t>
        </is>
      </c>
      <c r="AL112" t="inlineStr">
        <is>
          <t>NUTS 2024</t>
        </is>
      </c>
      <c r="AM112" t="inlineStr">
        <is>
          <t>RO4</t>
        </is>
      </c>
      <c r="AN112" t="inlineStr">
        <is>
          <t>Macroregiunea Patru</t>
        </is>
      </c>
      <c r="AO112" t="inlineStr">
        <is>
          <t>RO41</t>
        </is>
      </c>
      <c r="AP112" t="inlineStr">
        <is>
          <t>Sud-Vest Oltenia</t>
        </is>
      </c>
      <c r="AQ112" t="inlineStr">
        <is>
          <t>RO414</t>
        </is>
      </c>
      <c r="AR112" t="inlineStr">
        <is>
          <t>Olt</t>
        </is>
      </c>
      <c r="AS112" s="9" t="n">
        <v>5.8</v>
      </c>
      <c r="AT112" t="inlineStr">
        <is>
          <t>final</t>
        </is>
      </c>
      <c r="AU112" s="9" t="n"/>
      <c r="AV112" s="9" t="n"/>
    </row>
    <row r="113">
      <c r="A113" t="n">
        <v>2024</v>
      </c>
      <c r="B113" t="inlineStr">
        <is>
          <t>130534</t>
        </is>
      </c>
      <c r="C113" t="inlineStr">
        <is>
          <t>Ploiești</t>
        </is>
      </c>
      <c r="D113" t="inlineStr">
        <is>
          <t>Prahova</t>
        </is>
      </c>
      <c r="E113" t="inlineStr">
        <is>
          <t>nu</t>
        </is>
      </c>
      <c r="F113" t="inlineStr">
        <is>
          <t>total_cheltuieli_lipsa</t>
        </is>
      </c>
      <c r="G113" t="inlineStr">
        <is>
          <t>verified</t>
        </is>
      </c>
      <c r="H113" s="5" t="n">
        <v>92.59999999999999</v>
      </c>
      <c r="I113" t="inlineStr">
        <is>
          <t>nu</t>
        </is>
      </c>
      <c r="J113" s="6" t="n">
        <v>180540</v>
      </c>
      <c r="K113" t="inlineStr">
        <is>
          <t>2021-12-01</t>
        </is>
      </c>
      <c r="L113" s="7" t="n">
        <v>89.2</v>
      </c>
      <c r="M113" s="7">
        <f>IFERROR(J113/L113,"")</f>
        <v/>
      </c>
      <c r="N113" s="7" t="n"/>
      <c r="O113" s="7" t="n"/>
      <c r="P113" s="7">
        <f>IF(OR($E113&lt;&gt;"da",N113="",O113=""),"",N113-O113)</f>
        <v/>
      </c>
      <c r="Q113" s="7">
        <f>IF(OR($E113&lt;&gt;"da",N113=""),"",IFERROR(N113*1000/J113,""))</f>
        <v/>
      </c>
      <c r="R113" s="7">
        <f>IF(OR($E113&lt;&gt;"da",O113=""),"",IFERROR(O113*1000/J113,""))</f>
        <v/>
      </c>
      <c r="S113" s="7">
        <f>IF(OR($E113&lt;&gt;"da",P113=""),"",IFERROR(P113*1000/J113,""))</f>
        <v/>
      </c>
      <c r="T113" s="8" t="n"/>
      <c r="U113" s="8" t="n"/>
      <c r="V113" s="8" t="n"/>
      <c r="X113" s="7" t="n"/>
      <c r="Y113" s="7" t="n"/>
      <c r="Z113" s="7">
        <f>IF(OR(X113="",Y113=""),"",X113-Y113)</f>
        <v/>
      </c>
      <c r="AA113" s="7">
        <f>IF(OR($AJ113&lt;&gt;"da",X113=""),"",IFERROR(X113*1000/J113,""))</f>
        <v/>
      </c>
      <c r="AB113" s="7">
        <f>IF(OR($AJ113&lt;&gt;"da",Y113=""),"",IFERROR(Y113*1000/J113,""))</f>
        <v/>
      </c>
      <c r="AC113" s="7">
        <f>IF(OR($AJ113&lt;&gt;"da",Z113=""),"",IFERROR(Z113*1000/J113,""))</f>
        <v/>
      </c>
      <c r="AD113" s="8" t="n"/>
      <c r="AE113" s="8" t="n"/>
      <c r="AF113" s="9" t="n"/>
      <c r="AG113" s="9" t="n"/>
      <c r="AH113" s="9" t="n"/>
      <c r="AI113" s="9" t="n"/>
      <c r="AJ113" t="inlineStr">
        <is>
          <t>nu</t>
        </is>
      </c>
      <c r="AK113" t="inlineStr">
        <is>
          <t>executie_lipsa</t>
        </is>
      </c>
      <c r="AL113" t="inlineStr">
        <is>
          <t>NUTS 2024</t>
        </is>
      </c>
      <c r="AM113" t="inlineStr">
        <is>
          <t>RO3</t>
        </is>
      </c>
      <c r="AN113" t="inlineStr">
        <is>
          <t>Macroregiunea Trei</t>
        </is>
      </c>
      <c r="AO113" t="inlineStr">
        <is>
          <t>RO31</t>
        </is>
      </c>
      <c r="AP113" t="inlineStr">
        <is>
          <t>Sud-Muntenia</t>
        </is>
      </c>
      <c r="AQ113" t="inlineStr">
        <is>
          <t>RO316</t>
        </is>
      </c>
      <c r="AR113" t="inlineStr">
        <is>
          <t>Prahova</t>
        </is>
      </c>
      <c r="AS113" s="9" t="n">
        <v>5.8</v>
      </c>
      <c r="AT113" t="inlineStr">
        <is>
          <t>final</t>
        </is>
      </c>
      <c r="AU113" s="9" t="n"/>
      <c r="AV113" s="9" t="n"/>
    </row>
    <row r="114">
      <c r="A114" t="n">
        <v>2024</v>
      </c>
      <c r="B114" t="inlineStr">
        <is>
          <t>136483</t>
        </is>
      </c>
      <c r="C114" t="inlineStr">
        <is>
          <t>Satu Mare</t>
        </is>
      </c>
      <c r="D114" t="inlineStr">
        <is>
          <t>Satu Mare</t>
        </is>
      </c>
      <c r="E114" t="inlineStr">
        <is>
          <t>da</t>
        </is>
      </c>
      <c r="G114" t="inlineStr">
        <is>
          <t>verified</t>
        </is>
      </c>
      <c r="H114" s="5" t="n">
        <v>100</v>
      </c>
      <c r="I114" t="inlineStr">
        <is>
          <t>nu</t>
        </is>
      </c>
      <c r="J114" s="6" t="n">
        <v>91520</v>
      </c>
      <c r="K114" t="inlineStr">
        <is>
          <t>2021-12-01</t>
        </is>
      </c>
      <c r="L114" s="7" t="n">
        <v>150.3</v>
      </c>
      <c r="M114" s="7">
        <f>IFERROR(J114/L114,"")</f>
        <v/>
      </c>
      <c r="N114" s="7" t="n">
        <v>559052.437</v>
      </c>
      <c r="O114" s="7" t="n">
        <v>577911.194</v>
      </c>
      <c r="P114" s="7">
        <f>IF(OR($E114&lt;&gt;"da",N114="",O114=""),"",N114-O114)</f>
        <v/>
      </c>
      <c r="Q114" s="7">
        <f>IF(OR($E114&lt;&gt;"da",N114=""),"",IFERROR(N114*1000/J114,""))</f>
        <v/>
      </c>
      <c r="R114" s="7">
        <f>IF(OR($E114&lt;&gt;"da",O114=""),"",IFERROR(O114*1000/J114,""))</f>
        <v/>
      </c>
      <c r="S114" s="7">
        <f>IF(OR($E114&lt;&gt;"da",P114=""),"",IFERROR(P114*1000/J114,""))</f>
        <v/>
      </c>
      <c r="T114" s="8" t="n">
        <v>15</v>
      </c>
      <c r="U114" s="8" t="n">
        <v>24</v>
      </c>
      <c r="V114" s="8" t="n"/>
      <c r="X114" s="7" t="n"/>
      <c r="Y114" s="7" t="n"/>
      <c r="Z114" s="7">
        <f>IF(OR(X114="",Y114=""),"",X114-Y114)</f>
        <v/>
      </c>
      <c r="AA114" s="7">
        <f>IF(OR($AJ114&lt;&gt;"da",X114=""),"",IFERROR(X114*1000/J114,""))</f>
        <v/>
      </c>
      <c r="AB114" s="7">
        <f>IF(OR($AJ114&lt;&gt;"da",Y114=""),"",IFERROR(Y114*1000/J114,""))</f>
        <v/>
      </c>
      <c r="AC114" s="7">
        <f>IF(OR($AJ114&lt;&gt;"da",Z114=""),"",IFERROR(Z114*1000/J114,""))</f>
        <v/>
      </c>
      <c r="AD114" s="8" t="n"/>
      <c r="AE114" s="8" t="n"/>
      <c r="AF114" s="9" t="n"/>
      <c r="AG114" s="9" t="n"/>
      <c r="AH114" s="9" t="n"/>
      <c r="AI114" s="9" t="n"/>
      <c r="AJ114" t="inlineStr">
        <is>
          <t>nu</t>
        </is>
      </c>
      <c r="AK114" t="inlineStr">
        <is>
          <t>executie_lipsa</t>
        </is>
      </c>
      <c r="AL114" t="inlineStr">
        <is>
          <t>NUTS 2024</t>
        </is>
      </c>
      <c r="AM114" t="inlineStr">
        <is>
          <t>RO1</t>
        </is>
      </c>
      <c r="AN114" t="inlineStr">
        <is>
          <t>Macroregiunea Unu</t>
        </is>
      </c>
      <c r="AO114" t="inlineStr">
        <is>
          <t>RO11</t>
        </is>
      </c>
      <c r="AP114" t="inlineStr">
        <is>
          <t>Nord-Vest</t>
        </is>
      </c>
      <c r="AQ114" t="inlineStr">
        <is>
          <t>RO115</t>
        </is>
      </c>
      <c r="AR114" t="inlineStr">
        <is>
          <t>Satu Mare</t>
        </is>
      </c>
      <c r="AS114" s="9" t="n">
        <v>5.8</v>
      </c>
      <c r="AT114" t="inlineStr">
        <is>
          <t>final</t>
        </is>
      </c>
      <c r="AU114" s="9" t="n"/>
      <c r="AV114" s="9" t="n"/>
    </row>
    <row r="115">
      <c r="A115" t="n">
        <v>2024</v>
      </c>
      <c r="B115" t="inlineStr">
        <is>
          <t>139704</t>
        </is>
      </c>
      <c r="C115" t="inlineStr">
        <is>
          <t>Zalău</t>
        </is>
      </c>
      <c r="D115" t="inlineStr">
        <is>
          <t>Sălaj</t>
        </is>
      </c>
      <c r="E115" t="inlineStr">
        <is>
          <t>nu</t>
        </is>
      </c>
      <c r="F115" t="inlineStr">
        <is>
          <t>total_cheltuieli_lipsa</t>
        </is>
      </c>
      <c r="G115" t="inlineStr">
        <is>
          <t>verified</t>
        </is>
      </c>
      <c r="H115" s="5" t="n">
        <v>40.3</v>
      </c>
      <c r="I115" t="inlineStr">
        <is>
          <t>nu</t>
        </is>
      </c>
      <c r="J115" s="6" t="n">
        <v>52359</v>
      </c>
      <c r="K115" t="inlineStr">
        <is>
          <t>2021-12-01</t>
        </is>
      </c>
      <c r="L115" s="7" t="n">
        <v>90.09</v>
      </c>
      <c r="M115" s="7">
        <f>IFERROR(J115/L115,"")</f>
        <v/>
      </c>
      <c r="N115" s="7" t="n"/>
      <c r="O115" s="7" t="n"/>
      <c r="P115" s="7">
        <f>IF(OR($E115&lt;&gt;"da",N115="",O115=""),"",N115-O115)</f>
        <v/>
      </c>
      <c r="Q115" s="7">
        <f>IF(OR($E115&lt;&gt;"da",N115=""),"",IFERROR(N115*1000/J115,""))</f>
        <v/>
      </c>
      <c r="R115" s="7">
        <f>IF(OR($E115&lt;&gt;"da",O115=""),"",IFERROR(O115*1000/J115,""))</f>
        <v/>
      </c>
      <c r="S115" s="7">
        <f>IF(OR($E115&lt;&gt;"da",P115=""),"",IFERROR(P115*1000/J115,""))</f>
        <v/>
      </c>
      <c r="T115" s="8" t="n"/>
      <c r="U115" s="8" t="n"/>
      <c r="V115" s="8" t="n"/>
      <c r="X115" s="7" t="n"/>
      <c r="Y115" s="7" t="n"/>
      <c r="Z115" s="7">
        <f>IF(OR(X115="",Y115=""),"",X115-Y115)</f>
        <v/>
      </c>
      <c r="AA115" s="7">
        <f>IF(OR($AJ115&lt;&gt;"da",X115=""),"",IFERROR(X115*1000/J115,""))</f>
        <v/>
      </c>
      <c r="AB115" s="7">
        <f>IF(OR($AJ115&lt;&gt;"da",Y115=""),"",IFERROR(Y115*1000/J115,""))</f>
        <v/>
      </c>
      <c r="AC115" s="7">
        <f>IF(OR($AJ115&lt;&gt;"da",Z115=""),"",IFERROR(Z115*1000/J115,""))</f>
        <v/>
      </c>
      <c r="AD115" s="8" t="n"/>
      <c r="AE115" s="8" t="n"/>
      <c r="AF115" s="9" t="n"/>
      <c r="AG115" s="9" t="n"/>
      <c r="AH115" s="9" t="n"/>
      <c r="AI115" s="9" t="n"/>
      <c r="AJ115" t="inlineStr">
        <is>
          <t>nu</t>
        </is>
      </c>
      <c r="AK115" t="inlineStr">
        <is>
          <t>executie_lipsa</t>
        </is>
      </c>
      <c r="AL115" t="inlineStr">
        <is>
          <t>NUTS 2024</t>
        </is>
      </c>
      <c r="AM115" t="inlineStr">
        <is>
          <t>RO1</t>
        </is>
      </c>
      <c r="AN115" t="inlineStr">
        <is>
          <t>Macroregiunea Unu</t>
        </is>
      </c>
      <c r="AO115" t="inlineStr">
        <is>
          <t>RO11</t>
        </is>
      </c>
      <c r="AP115" t="inlineStr">
        <is>
          <t>Nord-Vest</t>
        </is>
      </c>
      <c r="AQ115" t="inlineStr">
        <is>
          <t>RO116</t>
        </is>
      </c>
      <c r="AR115" t="inlineStr">
        <is>
          <t>Sălaj</t>
        </is>
      </c>
      <c r="AS115" s="9" t="n">
        <v>5.8</v>
      </c>
      <c r="AT115" t="inlineStr">
        <is>
          <t>final</t>
        </is>
      </c>
      <c r="AU115" s="9" t="n"/>
      <c r="AV115" s="9" t="n"/>
    </row>
    <row r="116">
      <c r="A116" t="n">
        <v>2024</v>
      </c>
      <c r="B116" t="inlineStr">
        <is>
          <t>143450</t>
        </is>
      </c>
      <c r="C116" t="inlineStr">
        <is>
          <t>Sibiu</t>
        </is>
      </c>
      <c r="D116" t="inlineStr">
        <is>
          <t>Sibiu</t>
        </is>
      </c>
      <c r="E116" t="inlineStr">
        <is>
          <t>nu</t>
        </is>
      </c>
      <c r="F116" t="inlineStr">
        <is>
          <t>total_cheltuieli_lipsa</t>
        </is>
      </c>
      <c r="G116" t="inlineStr">
        <is>
          <t>verified</t>
        </is>
      </c>
      <c r="H116" s="5" t="n">
        <v>57.6</v>
      </c>
      <c r="I116" t="inlineStr">
        <is>
          <t>nu</t>
        </is>
      </c>
      <c r="J116" s="6" t="n">
        <v>134309</v>
      </c>
      <c r="K116" t="inlineStr">
        <is>
          <t>2021-12-01</t>
        </is>
      </c>
      <c r="L116" s="7" t="n">
        <v>121</v>
      </c>
      <c r="M116" s="7">
        <f>IFERROR(J116/L116,"")</f>
        <v/>
      </c>
      <c r="N116" s="7" t="n">
        <v>380533.76</v>
      </c>
      <c r="O116" s="7" t="n"/>
      <c r="P116" s="7">
        <f>IF(OR($E116&lt;&gt;"da",N116="",O116=""),"",N116-O116)</f>
        <v/>
      </c>
      <c r="Q116" s="7">
        <f>IF(OR($E116&lt;&gt;"da",N116=""),"",IFERROR(N116*1000/J116,""))</f>
        <v/>
      </c>
      <c r="R116" s="7">
        <f>IF(OR($E116&lt;&gt;"da",O116=""),"",IFERROR(O116*1000/J116,""))</f>
        <v/>
      </c>
      <c r="S116" s="7">
        <f>IF(OR($E116&lt;&gt;"da",P116=""),"",IFERROR(P116*1000/J116,""))</f>
        <v/>
      </c>
      <c r="T116" s="8" t="n"/>
      <c r="U116" s="8" t="n"/>
      <c r="V116" s="8" t="n"/>
      <c r="X116" s="7" t="n"/>
      <c r="Y116" s="7" t="n"/>
      <c r="Z116" s="7">
        <f>IF(OR(X116="",Y116=""),"",X116-Y116)</f>
        <v/>
      </c>
      <c r="AA116" s="7">
        <f>IF(OR($AJ116&lt;&gt;"da",X116=""),"",IFERROR(X116*1000/J116,""))</f>
        <v/>
      </c>
      <c r="AB116" s="7">
        <f>IF(OR($AJ116&lt;&gt;"da",Y116=""),"",IFERROR(Y116*1000/J116,""))</f>
        <v/>
      </c>
      <c r="AC116" s="7">
        <f>IF(OR($AJ116&lt;&gt;"da",Z116=""),"",IFERROR(Z116*1000/J116,""))</f>
        <v/>
      </c>
      <c r="AD116" s="8" t="n"/>
      <c r="AE116" s="8" t="n"/>
      <c r="AF116" s="9" t="n"/>
      <c r="AG116" s="9" t="n"/>
      <c r="AH116" s="9" t="n"/>
      <c r="AI116" s="9" t="n"/>
      <c r="AJ116" t="inlineStr">
        <is>
          <t>nu</t>
        </is>
      </c>
      <c r="AK116" t="inlineStr">
        <is>
          <t>executie_lipsa</t>
        </is>
      </c>
      <c r="AL116" t="inlineStr">
        <is>
          <t>NUTS 2024</t>
        </is>
      </c>
      <c r="AM116" t="inlineStr">
        <is>
          <t>RO1</t>
        </is>
      </c>
      <c r="AN116" t="inlineStr">
        <is>
          <t>Macroregiunea Unu</t>
        </is>
      </c>
      <c r="AO116" t="inlineStr">
        <is>
          <t>RO12</t>
        </is>
      </c>
      <c r="AP116" t="inlineStr">
        <is>
          <t>Centru</t>
        </is>
      </c>
      <c r="AQ116" t="inlineStr">
        <is>
          <t>RO126</t>
        </is>
      </c>
      <c r="AR116" t="inlineStr">
        <is>
          <t>Sibiu</t>
        </is>
      </c>
      <c r="AS116" s="9" t="n">
        <v>5.8</v>
      </c>
      <c r="AT116" t="inlineStr">
        <is>
          <t>final</t>
        </is>
      </c>
      <c r="AU116" s="9" t="n"/>
      <c r="AV116" s="9" t="n"/>
    </row>
    <row r="117">
      <c r="A117" t="n">
        <v>2024</v>
      </c>
      <c r="B117" t="inlineStr">
        <is>
          <t>146263</t>
        </is>
      </c>
      <c r="C117" t="inlineStr">
        <is>
          <t>Suceava</t>
        </is>
      </c>
      <c r="D117" t="inlineStr">
        <is>
          <t>Suceava</t>
        </is>
      </c>
      <c r="E117" t="inlineStr">
        <is>
          <t>nu</t>
        </is>
      </c>
      <c r="F117" t="inlineStr">
        <is>
          <t>total_cheltuieli_lipsa</t>
        </is>
      </c>
      <c r="G117" t="inlineStr">
        <is>
          <t>verified</t>
        </is>
      </c>
      <c r="H117" s="5" t="n">
        <v>92.5</v>
      </c>
      <c r="I117" t="inlineStr">
        <is>
          <t>nu</t>
        </is>
      </c>
      <c r="J117" s="6" t="n">
        <v>84322</v>
      </c>
      <c r="K117" t="inlineStr">
        <is>
          <t>2021-12-01</t>
        </is>
      </c>
      <c r="L117" s="7" t="n">
        <v>52</v>
      </c>
      <c r="M117" s="7">
        <f>IFERROR(J117/L117,"")</f>
        <v/>
      </c>
      <c r="N117" s="7" t="n">
        <v>1069340.06</v>
      </c>
      <c r="O117" s="7" t="n"/>
      <c r="P117" s="7">
        <f>IF(OR($E117&lt;&gt;"da",N117="",O117=""),"",N117-O117)</f>
        <v/>
      </c>
      <c r="Q117" s="7">
        <f>IF(OR($E117&lt;&gt;"da",N117=""),"",IFERROR(N117*1000/J117,""))</f>
        <v/>
      </c>
      <c r="R117" s="7">
        <f>IF(OR($E117&lt;&gt;"da",O117=""),"",IFERROR(O117*1000/J117,""))</f>
        <v/>
      </c>
      <c r="S117" s="7">
        <f>IF(OR($E117&lt;&gt;"da",P117=""),"",IFERROR(P117*1000/J117,""))</f>
        <v/>
      </c>
      <c r="T117" s="8" t="n"/>
      <c r="U117" s="8" t="n"/>
      <c r="V117" s="8" t="n"/>
      <c r="X117" s="7" t="n"/>
      <c r="Y117" s="7" t="n"/>
      <c r="Z117" s="7">
        <f>IF(OR(X117="",Y117=""),"",X117-Y117)</f>
        <v/>
      </c>
      <c r="AA117" s="7">
        <f>IF(OR($AJ117&lt;&gt;"da",X117=""),"",IFERROR(X117*1000/J117,""))</f>
        <v/>
      </c>
      <c r="AB117" s="7">
        <f>IF(OR($AJ117&lt;&gt;"da",Y117=""),"",IFERROR(Y117*1000/J117,""))</f>
        <v/>
      </c>
      <c r="AC117" s="7">
        <f>IF(OR($AJ117&lt;&gt;"da",Z117=""),"",IFERROR(Z117*1000/J117,""))</f>
        <v/>
      </c>
      <c r="AD117" s="8" t="n"/>
      <c r="AE117" s="8" t="n"/>
      <c r="AF117" s="9" t="n"/>
      <c r="AG117" s="9" t="n"/>
      <c r="AH117" s="9" t="n"/>
      <c r="AI117" s="9" t="n"/>
      <c r="AJ117" t="inlineStr">
        <is>
          <t>nu</t>
        </is>
      </c>
      <c r="AK117" t="inlineStr">
        <is>
          <t>executie_lipsa</t>
        </is>
      </c>
      <c r="AL117" t="inlineStr">
        <is>
          <t>NUTS 2024</t>
        </is>
      </c>
      <c r="AM117" t="inlineStr">
        <is>
          <t>RO2</t>
        </is>
      </c>
      <c r="AN117" t="inlineStr">
        <is>
          <t>Macroregiunea Doi</t>
        </is>
      </c>
      <c r="AO117" t="inlineStr">
        <is>
          <t>RO21</t>
        </is>
      </c>
      <c r="AP117" t="inlineStr">
        <is>
          <t>Nord-Est</t>
        </is>
      </c>
      <c r="AQ117" t="inlineStr">
        <is>
          <t>RO215</t>
        </is>
      </c>
      <c r="AR117" t="inlineStr">
        <is>
          <t>Suceava</t>
        </is>
      </c>
      <c r="AS117" s="9" t="n">
        <v>5.8</v>
      </c>
      <c r="AT117" t="inlineStr">
        <is>
          <t>final</t>
        </is>
      </c>
      <c r="AU117" s="9" t="n"/>
      <c r="AV117" s="9" t="n"/>
    </row>
    <row r="118">
      <c r="A118" t="n">
        <v>2024</v>
      </c>
      <c r="B118" t="inlineStr">
        <is>
          <t>151790</t>
        </is>
      </c>
      <c r="C118" t="inlineStr">
        <is>
          <t>Alexandria</t>
        </is>
      </c>
      <c r="D118" t="inlineStr">
        <is>
          <t>Teleorman</t>
        </is>
      </c>
      <c r="E118" t="inlineStr">
        <is>
          <t>da</t>
        </is>
      </c>
      <c r="G118" t="inlineStr">
        <is>
          <t>verified</t>
        </is>
      </c>
      <c r="H118" s="5" t="n">
        <v>94.90000000000001</v>
      </c>
      <c r="I118" t="inlineStr">
        <is>
          <t>nu</t>
        </is>
      </c>
      <c r="J118" s="6" t="n">
        <v>40390</v>
      </c>
      <c r="K118" t="inlineStr">
        <is>
          <t>2021-12-01</t>
        </is>
      </c>
      <c r="L118" s="7" t="n">
        <v>9.56</v>
      </c>
      <c r="M118" s="7">
        <f>IFERROR(J118/L118,"")</f>
        <v/>
      </c>
      <c r="N118" s="7" t="n"/>
      <c r="O118" s="7" t="n">
        <v>436375.25</v>
      </c>
      <c r="P118" s="7">
        <f>IF(OR($E118&lt;&gt;"da",N118="",O118=""),"",N118-O118)</f>
        <v/>
      </c>
      <c r="Q118" s="7">
        <f>IF(OR($E118&lt;&gt;"da",N118=""),"",IFERROR(N118*1000/J118,""))</f>
        <v/>
      </c>
      <c r="R118" s="7">
        <f>IF(OR($E118&lt;&gt;"da",O118=""),"",IFERROR(O118*1000/J118,""))</f>
        <v/>
      </c>
      <c r="S118" s="7">
        <f>IF(OR($E118&lt;&gt;"da",P118=""),"",IFERROR(P118*1000/J118,""))</f>
        <v/>
      </c>
      <c r="T118" s="8" t="n">
        <v>2</v>
      </c>
      <c r="U118" s="8" t="n">
        <v>24</v>
      </c>
      <c r="V118" s="8" t="n"/>
      <c r="X118" s="7" t="n"/>
      <c r="Y118" s="7" t="n"/>
      <c r="Z118" s="7">
        <f>IF(OR(X118="",Y118=""),"",X118-Y118)</f>
        <v/>
      </c>
      <c r="AA118" s="7">
        <f>IF(OR($AJ118&lt;&gt;"da",X118=""),"",IFERROR(X118*1000/J118,""))</f>
        <v/>
      </c>
      <c r="AB118" s="7">
        <f>IF(OR($AJ118&lt;&gt;"da",Y118=""),"",IFERROR(Y118*1000/J118,""))</f>
        <v/>
      </c>
      <c r="AC118" s="7">
        <f>IF(OR($AJ118&lt;&gt;"da",Z118=""),"",IFERROR(Z118*1000/J118,""))</f>
        <v/>
      </c>
      <c r="AD118" s="8" t="n"/>
      <c r="AE118" s="8" t="n"/>
      <c r="AF118" s="9" t="n"/>
      <c r="AG118" s="9" t="n"/>
      <c r="AH118" s="9" t="n"/>
      <c r="AI118" s="9" t="n"/>
      <c r="AJ118" t="inlineStr">
        <is>
          <t>nu</t>
        </is>
      </c>
      <c r="AK118" t="inlineStr">
        <is>
          <t>executie_lipsa</t>
        </is>
      </c>
      <c r="AL118" t="inlineStr">
        <is>
          <t>NUTS 2024</t>
        </is>
      </c>
      <c r="AM118" t="inlineStr">
        <is>
          <t>RO3</t>
        </is>
      </c>
      <c r="AN118" t="inlineStr">
        <is>
          <t>Macroregiunea Trei</t>
        </is>
      </c>
      <c r="AO118" t="inlineStr">
        <is>
          <t>RO31</t>
        </is>
      </c>
      <c r="AP118" t="inlineStr">
        <is>
          <t>Sud-Muntenia</t>
        </is>
      </c>
      <c r="AQ118" t="inlineStr">
        <is>
          <t>RO317</t>
        </is>
      </c>
      <c r="AR118" t="inlineStr">
        <is>
          <t>Teleorman</t>
        </is>
      </c>
      <c r="AS118" s="9" t="n">
        <v>5.8</v>
      </c>
      <c r="AT118" t="inlineStr">
        <is>
          <t>final</t>
        </is>
      </c>
      <c r="AU118" s="9" t="n"/>
      <c r="AV118" s="9" t="n"/>
    </row>
    <row r="119">
      <c r="A119" t="n">
        <v>2024</v>
      </c>
      <c r="B119" t="inlineStr">
        <is>
          <t>155243</t>
        </is>
      </c>
      <c r="C119" t="inlineStr">
        <is>
          <t>Timișoara</t>
        </is>
      </c>
      <c r="D119" t="inlineStr">
        <is>
          <t>Timiș</t>
        </is>
      </c>
      <c r="E119" t="inlineStr">
        <is>
          <t>da</t>
        </is>
      </c>
      <c r="G119" t="inlineStr">
        <is>
          <t>verified</t>
        </is>
      </c>
      <c r="H119" s="5" t="n">
        <v>95.90000000000001</v>
      </c>
      <c r="I119" t="inlineStr">
        <is>
          <t>nu</t>
        </is>
      </c>
      <c r="J119" s="6" t="n">
        <v>250849</v>
      </c>
      <c r="K119" t="inlineStr">
        <is>
          <t>2021-12-01</t>
        </is>
      </c>
      <c r="L119" s="7" t="n">
        <v>130.5</v>
      </c>
      <c r="M119" s="7">
        <f>IFERROR(J119/L119,"")</f>
        <v/>
      </c>
      <c r="N119" s="7" t="n">
        <v>2261482.13</v>
      </c>
      <c r="O119" s="7" t="n">
        <v>2352378.93</v>
      </c>
      <c r="P119" s="7">
        <f>IF(OR($E119&lt;&gt;"da",N119="",O119=""),"",N119-O119)</f>
        <v/>
      </c>
      <c r="Q119" s="7">
        <f>IF(OR($E119&lt;&gt;"da",N119=""),"",IFERROR(N119*1000/J119,""))</f>
        <v/>
      </c>
      <c r="R119" s="7">
        <f>IF(OR($E119&lt;&gt;"da",O119=""),"",IFERROR(O119*1000/J119,""))</f>
        <v/>
      </c>
      <c r="S119" s="7">
        <f>IF(OR($E119&lt;&gt;"da",P119=""),"",IFERROR(P119*1000/J119,""))</f>
        <v/>
      </c>
      <c r="T119" s="8" t="n">
        <v>6</v>
      </c>
      <c r="U119" s="8" t="n">
        <v>24</v>
      </c>
      <c r="V119" s="8" t="n"/>
      <c r="X119" s="7" t="n"/>
      <c r="Y119" s="7" t="n"/>
      <c r="Z119" s="7">
        <f>IF(OR(X119="",Y119=""),"",X119-Y119)</f>
        <v/>
      </c>
      <c r="AA119" s="7">
        <f>IF(OR($AJ119&lt;&gt;"da",X119=""),"",IFERROR(X119*1000/J119,""))</f>
        <v/>
      </c>
      <c r="AB119" s="7">
        <f>IF(OR($AJ119&lt;&gt;"da",Y119=""),"",IFERROR(Y119*1000/J119,""))</f>
        <v/>
      </c>
      <c r="AC119" s="7">
        <f>IF(OR($AJ119&lt;&gt;"da",Z119=""),"",IFERROR(Z119*1000/J119,""))</f>
        <v/>
      </c>
      <c r="AD119" s="8" t="n"/>
      <c r="AE119" s="8" t="n"/>
      <c r="AF119" s="9" t="n"/>
      <c r="AG119" s="9" t="n"/>
      <c r="AH119" s="9" t="n"/>
      <c r="AI119" s="9" t="n"/>
      <c r="AJ119" t="inlineStr">
        <is>
          <t>nu</t>
        </is>
      </c>
      <c r="AK119" t="inlineStr">
        <is>
          <t>executie_lipsa</t>
        </is>
      </c>
      <c r="AL119" t="inlineStr">
        <is>
          <t>NUTS 2024</t>
        </is>
      </c>
      <c r="AM119" t="inlineStr">
        <is>
          <t>RO4</t>
        </is>
      </c>
      <c r="AN119" t="inlineStr">
        <is>
          <t>Macroregiunea Patru</t>
        </is>
      </c>
      <c r="AO119" t="inlineStr">
        <is>
          <t>RO42</t>
        </is>
      </c>
      <c r="AP119" t="inlineStr">
        <is>
          <t>Vest</t>
        </is>
      </c>
      <c r="AQ119" t="inlineStr">
        <is>
          <t>RO424</t>
        </is>
      </c>
      <c r="AR119" t="inlineStr">
        <is>
          <t>Timiș</t>
        </is>
      </c>
      <c r="AS119" s="9" t="n">
        <v>5.8</v>
      </c>
      <c r="AT119" t="inlineStr">
        <is>
          <t>final</t>
        </is>
      </c>
      <c r="AU119" s="9" t="n"/>
      <c r="AV119" s="9" t="n"/>
    </row>
    <row r="120">
      <c r="A120" t="n">
        <v>2024</v>
      </c>
      <c r="B120" t="inlineStr">
        <is>
          <t>159614</t>
        </is>
      </c>
      <c r="C120" t="inlineStr">
        <is>
          <t>Tulcea</t>
        </is>
      </c>
      <c r="D120" t="inlineStr">
        <is>
          <t>Tulcea</t>
        </is>
      </c>
      <c r="E120" t="inlineStr">
        <is>
          <t>da</t>
        </is>
      </c>
      <c r="G120" t="inlineStr">
        <is>
          <t>verified</t>
        </is>
      </c>
      <c r="H120" s="5" t="n">
        <v>81.09999999999999</v>
      </c>
      <c r="I120" t="inlineStr">
        <is>
          <t>nu</t>
        </is>
      </c>
      <c r="J120" s="6" t="n">
        <v>65624</v>
      </c>
      <c r="K120" t="inlineStr">
        <is>
          <t>2021-12-01</t>
        </is>
      </c>
      <c r="L120" s="7" t="n">
        <v>199.94</v>
      </c>
      <c r="M120" s="7">
        <f>IFERROR(J120/L120,"")</f>
        <v/>
      </c>
      <c r="N120" s="7" t="n">
        <v>446805.6</v>
      </c>
      <c r="O120" s="7" t="n">
        <v>258371.5</v>
      </c>
      <c r="P120" s="7">
        <f>IF(OR($E120&lt;&gt;"da",N120="",O120=""),"",N120-O120)</f>
        <v/>
      </c>
      <c r="Q120" s="7">
        <f>IF(OR($E120&lt;&gt;"da",N120=""),"",IFERROR(N120*1000/J120,""))</f>
        <v/>
      </c>
      <c r="R120" s="7">
        <f>IF(OR($E120&lt;&gt;"da",O120=""),"",IFERROR(O120*1000/J120,""))</f>
        <v/>
      </c>
      <c r="S120" s="7">
        <f>IF(OR($E120&lt;&gt;"da",P120=""),"",IFERROR(P120*1000/J120,""))</f>
        <v/>
      </c>
      <c r="T120" s="8" t="n">
        <v>21</v>
      </c>
      <c r="U120" s="8" t="n">
        <v>24</v>
      </c>
      <c r="V120" s="8" t="n"/>
      <c r="X120" s="7" t="n"/>
      <c r="Y120" s="7" t="n"/>
      <c r="Z120" s="7">
        <f>IF(OR(X120="",Y120=""),"",X120-Y120)</f>
        <v/>
      </c>
      <c r="AA120" s="7">
        <f>IF(OR($AJ120&lt;&gt;"da",X120=""),"",IFERROR(X120*1000/J120,""))</f>
        <v/>
      </c>
      <c r="AB120" s="7">
        <f>IF(OR($AJ120&lt;&gt;"da",Y120=""),"",IFERROR(Y120*1000/J120,""))</f>
        <v/>
      </c>
      <c r="AC120" s="7">
        <f>IF(OR($AJ120&lt;&gt;"da",Z120=""),"",IFERROR(Z120*1000/J120,""))</f>
        <v/>
      </c>
      <c r="AD120" s="8" t="n"/>
      <c r="AE120" s="8" t="n"/>
      <c r="AF120" s="9" t="n"/>
      <c r="AG120" s="9" t="n"/>
      <c r="AH120" s="9" t="n"/>
      <c r="AI120" s="9" t="n"/>
      <c r="AJ120" t="inlineStr">
        <is>
          <t>nu</t>
        </is>
      </c>
      <c r="AK120" t="inlineStr">
        <is>
          <t>executie_lipsa</t>
        </is>
      </c>
      <c r="AL120" t="inlineStr">
        <is>
          <t>NUTS 2024</t>
        </is>
      </c>
      <c r="AM120" t="inlineStr">
        <is>
          <t>RO2</t>
        </is>
      </c>
      <c r="AN120" t="inlineStr">
        <is>
          <t>Macroregiunea Doi</t>
        </is>
      </c>
      <c r="AO120" t="inlineStr">
        <is>
          <t>RO22</t>
        </is>
      </c>
      <c r="AP120" t="inlineStr">
        <is>
          <t>Sud-Est</t>
        </is>
      </c>
      <c r="AQ120" t="inlineStr">
        <is>
          <t>RO225</t>
        </is>
      </c>
      <c r="AR120" t="inlineStr">
        <is>
          <t>Tulcea</t>
        </is>
      </c>
      <c r="AS120" s="9" t="n">
        <v>5.8</v>
      </c>
      <c r="AT120" t="inlineStr">
        <is>
          <t>final</t>
        </is>
      </c>
      <c r="AU120" s="9" t="n"/>
      <c r="AV120" s="9" t="n"/>
    </row>
    <row r="121">
      <c r="A121" t="n">
        <v>2024</v>
      </c>
      <c r="B121" t="inlineStr">
        <is>
          <t>161945</t>
        </is>
      </c>
      <c r="C121" t="inlineStr">
        <is>
          <t>Vaslui</t>
        </is>
      </c>
      <c r="D121" t="inlineStr">
        <is>
          <t>Vaslui</t>
        </is>
      </c>
      <c r="E121" t="inlineStr">
        <is>
          <t>da</t>
        </is>
      </c>
      <c r="G121" t="inlineStr">
        <is>
          <t>verified</t>
        </is>
      </c>
      <c r="H121" s="5" t="n">
        <v>50.4</v>
      </c>
      <c r="I121" t="inlineStr">
        <is>
          <t>nu</t>
        </is>
      </c>
      <c r="J121" s="6" t="n">
        <v>63035</v>
      </c>
      <c r="K121" t="inlineStr">
        <is>
          <t>2021-12-01</t>
        </is>
      </c>
      <c r="L121" s="7" t="n">
        <v>68</v>
      </c>
      <c r="M121" s="7">
        <f>IFERROR(J121/L121,"")</f>
        <v/>
      </c>
      <c r="N121" s="7" t="n">
        <v>449341</v>
      </c>
      <c r="O121" s="7" t="n">
        <v>493563.08</v>
      </c>
      <c r="P121" s="7">
        <f>IF(OR($E121&lt;&gt;"da",N121="",O121=""),"",N121-O121)</f>
        <v/>
      </c>
      <c r="Q121" s="7">
        <f>IF(OR($E121&lt;&gt;"da",N121=""),"",IFERROR(N121*1000/J121,""))</f>
        <v/>
      </c>
      <c r="R121" s="7">
        <f>IF(OR($E121&lt;&gt;"da",O121=""),"",IFERROR(O121*1000/J121,""))</f>
        <v/>
      </c>
      <c r="S121" s="7">
        <f>IF(OR($E121&lt;&gt;"da",P121=""),"",IFERROR(P121*1000/J121,""))</f>
        <v/>
      </c>
      <c r="T121" s="8" t="n">
        <v>10</v>
      </c>
      <c r="U121" s="8" t="n">
        <v>24</v>
      </c>
      <c r="V121" s="8" t="n"/>
      <c r="X121" s="7" t="n"/>
      <c r="Y121" s="7" t="n"/>
      <c r="Z121" s="7">
        <f>IF(OR(X121="",Y121=""),"",X121-Y121)</f>
        <v/>
      </c>
      <c r="AA121" s="7">
        <f>IF(OR($AJ121&lt;&gt;"da",X121=""),"",IFERROR(X121*1000/J121,""))</f>
        <v/>
      </c>
      <c r="AB121" s="7">
        <f>IF(OR($AJ121&lt;&gt;"da",Y121=""),"",IFERROR(Y121*1000/J121,""))</f>
        <v/>
      </c>
      <c r="AC121" s="7">
        <f>IF(OR($AJ121&lt;&gt;"da",Z121=""),"",IFERROR(Z121*1000/J121,""))</f>
        <v/>
      </c>
      <c r="AD121" s="8" t="n"/>
      <c r="AE121" s="8" t="n"/>
      <c r="AF121" s="9" t="n"/>
      <c r="AG121" s="9" t="n"/>
      <c r="AH121" s="9" t="n"/>
      <c r="AI121" s="9" t="n"/>
      <c r="AJ121" t="inlineStr">
        <is>
          <t>nu</t>
        </is>
      </c>
      <c r="AK121" t="inlineStr">
        <is>
          <t>executie_lipsa</t>
        </is>
      </c>
      <c r="AL121" t="inlineStr">
        <is>
          <t>NUTS 2024</t>
        </is>
      </c>
      <c r="AM121" t="inlineStr">
        <is>
          <t>RO2</t>
        </is>
      </c>
      <c r="AN121" t="inlineStr">
        <is>
          <t>Macroregiunea Doi</t>
        </is>
      </c>
      <c r="AO121" t="inlineStr">
        <is>
          <t>RO21</t>
        </is>
      </c>
      <c r="AP121" t="inlineStr">
        <is>
          <t>Nord-Est</t>
        </is>
      </c>
      <c r="AQ121" t="inlineStr">
        <is>
          <t>RO216</t>
        </is>
      </c>
      <c r="AR121" t="inlineStr">
        <is>
          <t>Vaslui</t>
        </is>
      </c>
      <c r="AS121" s="9" t="n">
        <v>5.8</v>
      </c>
      <c r="AT121" t="inlineStr">
        <is>
          <t>final</t>
        </is>
      </c>
      <c r="AU121" s="9" t="n"/>
      <c r="AV121" s="9" t="n"/>
    </row>
    <row r="122">
      <c r="A122" t="n">
        <v>2024</v>
      </c>
      <c r="B122" t="inlineStr">
        <is>
          <t>167473</t>
        </is>
      </c>
      <c r="C122" t="inlineStr">
        <is>
          <t>Râmnicu Vâlcea</t>
        </is>
      </c>
      <c r="D122" t="inlineStr">
        <is>
          <t>Vâlcea</t>
        </is>
      </c>
      <c r="E122" t="inlineStr">
        <is>
          <t>nu</t>
        </is>
      </c>
      <c r="F122" t="inlineStr">
        <is>
          <t>total_cheltuieli_lipsa</t>
        </is>
      </c>
      <c r="G122" t="inlineStr">
        <is>
          <t>verified</t>
        </is>
      </c>
      <c r="H122" s="5" t="n">
        <v>87</v>
      </c>
      <c r="I122" t="inlineStr">
        <is>
          <t>nu</t>
        </is>
      </c>
      <c r="J122" s="6" t="n">
        <v>93151</v>
      </c>
      <c r="K122" t="inlineStr">
        <is>
          <t>2021-12-01</t>
        </is>
      </c>
      <c r="L122" s="7" t="n">
        <v>89.52</v>
      </c>
      <c r="M122" s="7">
        <f>IFERROR(J122/L122,"")</f>
        <v/>
      </c>
      <c r="N122" s="7" t="n">
        <v>554815.87</v>
      </c>
      <c r="O122" s="7" t="n"/>
      <c r="P122" s="7">
        <f>IF(OR($E122&lt;&gt;"da",N122="",O122=""),"",N122-O122)</f>
        <v/>
      </c>
      <c r="Q122" s="7">
        <f>IF(OR($E122&lt;&gt;"da",N122=""),"",IFERROR(N122*1000/J122,""))</f>
        <v/>
      </c>
      <c r="R122" s="7">
        <f>IF(OR($E122&lt;&gt;"da",O122=""),"",IFERROR(O122*1000/J122,""))</f>
        <v/>
      </c>
      <c r="S122" s="7">
        <f>IF(OR($E122&lt;&gt;"da",P122=""),"",IFERROR(P122*1000/J122,""))</f>
        <v/>
      </c>
      <c r="T122" s="8" t="n"/>
      <c r="U122" s="8" t="n"/>
      <c r="V122" s="8" t="n"/>
      <c r="X122" s="7" t="n"/>
      <c r="Y122" s="7" t="n"/>
      <c r="Z122" s="7">
        <f>IF(OR(X122="",Y122=""),"",X122-Y122)</f>
        <v/>
      </c>
      <c r="AA122" s="7">
        <f>IF(OR($AJ122&lt;&gt;"da",X122=""),"",IFERROR(X122*1000/J122,""))</f>
        <v/>
      </c>
      <c r="AB122" s="7">
        <f>IF(OR($AJ122&lt;&gt;"da",Y122=""),"",IFERROR(Y122*1000/J122,""))</f>
        <v/>
      </c>
      <c r="AC122" s="7">
        <f>IF(OR($AJ122&lt;&gt;"da",Z122=""),"",IFERROR(Z122*1000/J122,""))</f>
        <v/>
      </c>
      <c r="AD122" s="8" t="n"/>
      <c r="AE122" s="8" t="n"/>
      <c r="AF122" s="9" t="n"/>
      <c r="AG122" s="9" t="n"/>
      <c r="AH122" s="9" t="n"/>
      <c r="AI122" s="9" t="n"/>
      <c r="AJ122" t="inlineStr">
        <is>
          <t>nu</t>
        </is>
      </c>
      <c r="AK122" t="inlineStr">
        <is>
          <t>executie_lipsa</t>
        </is>
      </c>
      <c r="AL122" t="inlineStr">
        <is>
          <t>NUTS 2024</t>
        </is>
      </c>
      <c r="AM122" t="inlineStr">
        <is>
          <t>RO4</t>
        </is>
      </c>
      <c r="AN122" t="inlineStr">
        <is>
          <t>Macroregiunea Patru</t>
        </is>
      </c>
      <c r="AO122" t="inlineStr">
        <is>
          <t>RO41</t>
        </is>
      </c>
      <c r="AP122" t="inlineStr">
        <is>
          <t>Sud-Vest Oltenia</t>
        </is>
      </c>
      <c r="AQ122" t="inlineStr">
        <is>
          <t>RO415</t>
        </is>
      </c>
      <c r="AR122" t="inlineStr">
        <is>
          <t>Vâlcea</t>
        </is>
      </c>
      <c r="AS122" s="9" t="n">
        <v>5.8</v>
      </c>
      <c r="AT122" t="inlineStr">
        <is>
          <t>final</t>
        </is>
      </c>
      <c r="AU122" s="9" t="n"/>
      <c r="AV122" s="9" t="n"/>
    </row>
    <row r="123">
      <c r="A123" t="n">
        <v>2024</v>
      </c>
      <c r="B123" t="inlineStr">
        <is>
          <t>174744</t>
        </is>
      </c>
      <c r="C123" t="inlineStr">
        <is>
          <t>Focșani</t>
        </is>
      </c>
      <c r="D123" t="inlineStr">
        <is>
          <t>Vrancea</t>
        </is>
      </c>
      <c r="E123" t="inlineStr">
        <is>
          <t>nu</t>
        </is>
      </c>
      <c r="F123" t="inlineStr">
        <is>
          <t>total_cheltuieli_lipsa</t>
        </is>
      </c>
      <c r="G123" t="inlineStr">
        <is>
          <t>verified</t>
        </is>
      </c>
      <c r="H123" s="5" t="n">
        <v>70.3</v>
      </c>
      <c r="I123" t="inlineStr">
        <is>
          <t>nu</t>
        </is>
      </c>
      <c r="J123" s="6" t="n">
        <v>66648</v>
      </c>
      <c r="K123" t="inlineStr">
        <is>
          <t>2021-12-01</t>
        </is>
      </c>
      <c r="L123" s="7" t="n">
        <v>54.8</v>
      </c>
      <c r="M123" s="7">
        <f>IFERROR(J123/L123,"")</f>
        <v/>
      </c>
      <c r="N123" s="7" t="n"/>
      <c r="O123" s="7" t="n"/>
      <c r="P123" s="7">
        <f>IF(OR($E123&lt;&gt;"da",N123="",O123=""),"",N123-O123)</f>
        <v/>
      </c>
      <c r="Q123" s="7">
        <f>IF(OR($E123&lt;&gt;"da",N123=""),"",IFERROR(N123*1000/J123,""))</f>
        <v/>
      </c>
      <c r="R123" s="7">
        <f>IF(OR($E123&lt;&gt;"da",O123=""),"",IFERROR(O123*1000/J123,""))</f>
        <v/>
      </c>
      <c r="S123" s="7">
        <f>IF(OR($E123&lt;&gt;"da",P123=""),"",IFERROR(P123*1000/J123,""))</f>
        <v/>
      </c>
      <c r="T123" s="8" t="n"/>
      <c r="U123" s="8" t="n"/>
      <c r="V123" s="8" t="n"/>
      <c r="X123" s="7" t="n"/>
      <c r="Y123" s="7" t="n"/>
      <c r="Z123" s="7">
        <f>IF(OR(X123="",Y123=""),"",X123-Y123)</f>
        <v/>
      </c>
      <c r="AA123" s="7">
        <f>IF(OR($AJ123&lt;&gt;"da",X123=""),"",IFERROR(X123*1000/J123,""))</f>
        <v/>
      </c>
      <c r="AB123" s="7">
        <f>IF(OR($AJ123&lt;&gt;"da",Y123=""),"",IFERROR(Y123*1000/J123,""))</f>
        <v/>
      </c>
      <c r="AC123" s="7">
        <f>IF(OR($AJ123&lt;&gt;"da",Z123=""),"",IFERROR(Z123*1000/J123,""))</f>
        <v/>
      </c>
      <c r="AD123" s="8" t="n"/>
      <c r="AE123" s="8" t="n"/>
      <c r="AF123" s="9" t="n"/>
      <c r="AG123" s="9" t="n"/>
      <c r="AH123" s="9" t="n"/>
      <c r="AI123" s="9" t="n"/>
      <c r="AJ123" t="inlineStr">
        <is>
          <t>nu</t>
        </is>
      </c>
      <c r="AK123" t="inlineStr">
        <is>
          <t>executie_lipsa</t>
        </is>
      </c>
      <c r="AL123" t="inlineStr">
        <is>
          <t>NUTS 2024</t>
        </is>
      </c>
      <c r="AM123" t="inlineStr">
        <is>
          <t>RO2</t>
        </is>
      </c>
      <c r="AN123" t="inlineStr">
        <is>
          <t>Macroregiunea Doi</t>
        </is>
      </c>
      <c r="AO123" t="inlineStr">
        <is>
          <t>RO22</t>
        </is>
      </c>
      <c r="AP123" t="inlineStr">
        <is>
          <t>Sud-Est</t>
        </is>
      </c>
      <c r="AQ123" t="inlineStr">
        <is>
          <t>RO226</t>
        </is>
      </c>
      <c r="AR123" t="inlineStr">
        <is>
          <t>Vrancea</t>
        </is>
      </c>
      <c r="AS123" s="9" t="n">
        <v>5.8</v>
      </c>
      <c r="AT123" t="inlineStr">
        <is>
          <t>final</t>
        </is>
      </c>
      <c r="AU123" s="9" t="n"/>
      <c r="AV123" s="9" t="n"/>
    </row>
    <row r="124">
      <c r="A124" t="n">
        <v>2024</v>
      </c>
      <c r="B124" t="inlineStr">
        <is>
          <t>179132</t>
        </is>
      </c>
      <c r="C124" t="inlineStr">
        <is>
          <t>București</t>
        </is>
      </c>
      <c r="D124" t="inlineStr">
        <is>
          <t>București</t>
        </is>
      </c>
      <c r="E124" t="inlineStr">
        <is>
          <t>da</t>
        </is>
      </c>
      <c r="G124" t="inlineStr">
        <is>
          <t>verified</t>
        </is>
      </c>
      <c r="H124" s="5" t="n">
        <v>83.59999999999999</v>
      </c>
      <c r="I124" t="inlineStr">
        <is>
          <t>nu</t>
        </is>
      </c>
      <c r="J124" s="6" t="n">
        <v>1716961</v>
      </c>
      <c r="K124" t="inlineStr">
        <is>
          <t>2021-12-01</t>
        </is>
      </c>
      <c r="L124" s="7" t="n">
        <v>226</v>
      </c>
      <c r="M124" s="7">
        <f>IFERROR(J124/L124,"")</f>
        <v/>
      </c>
      <c r="N124" s="7" t="n">
        <v>7891248</v>
      </c>
      <c r="O124" s="7" t="n">
        <v>7891248</v>
      </c>
      <c r="P124" s="7">
        <f>IF(OR($E124&lt;&gt;"da",N124="",O124=""),"",N124-O124)</f>
        <v/>
      </c>
      <c r="Q124" s="7">
        <f>IF(OR($E124&lt;&gt;"da",N124=""),"",IFERROR(N124*1000/J124,""))</f>
        <v/>
      </c>
      <c r="R124" s="7">
        <f>IF(OR($E124&lt;&gt;"da",O124=""),"",IFERROR(O124*1000/J124,""))</f>
        <v/>
      </c>
      <c r="S124" s="7">
        <f>IF(OR($E124&lt;&gt;"da",P124=""),"",IFERROR(P124*1000/J124,""))</f>
        <v/>
      </c>
      <c r="T124" s="8" t="n">
        <v>19</v>
      </c>
      <c r="U124" s="8" t="n">
        <v>24</v>
      </c>
      <c r="V124" s="8" t="n"/>
      <c r="X124" s="7" t="n"/>
      <c r="Y124" s="7" t="n"/>
      <c r="Z124" s="7">
        <f>IF(OR(X124="",Y124=""),"",X124-Y124)</f>
        <v/>
      </c>
      <c r="AA124" s="7">
        <f>IF(OR($AJ124&lt;&gt;"da",X124=""),"",IFERROR(X124*1000/J124,""))</f>
        <v/>
      </c>
      <c r="AB124" s="7">
        <f>IF(OR($AJ124&lt;&gt;"da",Y124=""),"",IFERROR(Y124*1000/J124,""))</f>
        <v/>
      </c>
      <c r="AC124" s="7">
        <f>IF(OR($AJ124&lt;&gt;"da",Z124=""),"",IFERROR(Z124*1000/J124,""))</f>
        <v/>
      </c>
      <c r="AD124" s="8" t="n"/>
      <c r="AE124" s="8" t="n"/>
      <c r="AF124" s="9" t="n"/>
      <c r="AG124" s="9" t="n"/>
      <c r="AH124" s="9" t="n"/>
      <c r="AI124" s="9" t="n"/>
      <c r="AJ124" t="inlineStr">
        <is>
          <t>nu</t>
        </is>
      </c>
      <c r="AK124" t="inlineStr">
        <is>
          <t>executie_lipsa</t>
        </is>
      </c>
      <c r="AL124" t="inlineStr">
        <is>
          <t>NUTS 2024</t>
        </is>
      </c>
      <c r="AM124" t="inlineStr">
        <is>
          <t>RO3</t>
        </is>
      </c>
      <c r="AN124" t="inlineStr">
        <is>
          <t>Macroregiunea Trei</t>
        </is>
      </c>
      <c r="AO124" t="inlineStr">
        <is>
          <t>RO32</t>
        </is>
      </c>
      <c r="AP124" t="inlineStr">
        <is>
          <t>București-Ilfov</t>
        </is>
      </c>
      <c r="AQ124" t="inlineStr">
        <is>
          <t>RO321</t>
        </is>
      </c>
      <c r="AR124" t="inlineStr">
        <is>
          <t>București</t>
        </is>
      </c>
      <c r="AS124" s="9" t="n">
        <v>5.8</v>
      </c>
      <c r="AT124" t="inlineStr">
        <is>
          <t>final</t>
        </is>
      </c>
      <c r="AU124" s="9" t="n"/>
      <c r="AV124" s="9" t="n"/>
    </row>
  </sheetData>
  <autoFilter ref="A1:AV1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20" customWidth="1" min="4" max="4"/>
    <col width="12" customWidth="1" min="5" max="5"/>
    <col width="42" customWidth="1" min="6" max="6"/>
    <col width="62" customWidth="1" min="10" max="10"/>
  </cols>
  <sheetData>
    <row r="1" ht="30" customHeight="1">
      <c r="A1" s="4" t="inlineStr">
        <is>
          <t>An</t>
        </is>
      </c>
      <c r="B1" s="4" t="inlineStr">
        <is>
          <t>SIRUTA</t>
        </is>
      </c>
      <c r="C1" s="4" t="inlineStr">
        <is>
          <t>Municipiu</t>
        </is>
      </c>
      <c r="D1" s="4" t="inlineStr">
        <is>
          <t>Județ</t>
        </is>
      </c>
      <c r="E1" s="4" t="inlineStr">
        <is>
          <t>Cod</t>
        </is>
      </c>
      <c r="F1" s="4" t="inlineStr">
        <is>
          <t>Capitol</t>
        </is>
      </c>
      <c r="G1" s="4" t="inlineStr">
        <is>
          <t>Total mii lei</t>
        </is>
      </c>
      <c r="H1" s="4" t="inlineStr">
        <is>
          <t>% din cheltuieli plan</t>
        </is>
      </c>
      <c r="I1" s="4" t="inlineStr">
        <is>
          <t>Lei/locuitor</t>
        </is>
      </c>
      <c r="J1" s="4" t="inlineStr">
        <is>
          <t>Notă</t>
        </is>
      </c>
    </row>
    <row r="2">
      <c r="A2" t="n">
        <v>2026</v>
      </c>
      <c r="B2" t="inlineStr">
        <is>
          <t>1017</t>
        </is>
      </c>
      <c r="C2" t="inlineStr">
        <is>
          <t>Alba Iulia</t>
        </is>
      </c>
      <c r="D2" t="inlineStr">
        <is>
          <t>Alba</t>
        </is>
      </c>
      <c r="E2" t="inlineStr">
        <is>
          <t>84.02</t>
        </is>
      </c>
      <c r="F2" t="inlineStr">
        <is>
          <t>Transporturi</t>
        </is>
      </c>
      <c r="G2" t="n">
        <v>191507.05</v>
      </c>
      <c r="H2" t="n">
        <v>29.44</v>
      </c>
      <c r="I2" t="n">
        <v>2981.72</v>
      </c>
      <c r="J2" t="inlineStr">
        <is>
          <t>Capitol prezent în topul verificat al municipiului; lista nu este exhaustivă.</t>
        </is>
      </c>
    </row>
    <row r="3">
      <c r="A3" t="n">
        <v>2026</v>
      </c>
      <c r="B3" t="inlineStr">
        <is>
          <t>1017</t>
        </is>
      </c>
      <c r="C3" t="inlineStr">
        <is>
          <t>Alba Iulia</t>
        </is>
      </c>
      <c r="D3" t="inlineStr">
        <is>
          <t>Alba</t>
        </is>
      </c>
      <c r="E3" t="inlineStr">
        <is>
          <t>70.02</t>
        </is>
      </c>
      <c r="F3" t="inlineStr">
        <is>
          <t>Locuinte, servicii si dezvoltare publica</t>
        </is>
      </c>
      <c r="G3" t="n">
        <v>159535.93</v>
      </c>
      <c r="H3" t="n">
        <v>24.52</v>
      </c>
      <c r="I3" t="n">
        <v>2483.94</v>
      </c>
      <c r="J3" t="inlineStr">
        <is>
          <t>Capitol prezent în topul verificat al municipiului; lista nu este exhaustivă.</t>
        </is>
      </c>
    </row>
    <row r="4">
      <c r="A4" t="n">
        <v>2026</v>
      </c>
      <c r="B4" t="inlineStr">
        <is>
          <t>1017</t>
        </is>
      </c>
      <c r="C4" t="inlineStr">
        <is>
          <t>Alba Iulia</t>
        </is>
      </c>
      <c r="D4" t="inlineStr">
        <is>
          <t>Alba</t>
        </is>
      </c>
      <c r="E4" t="inlineStr">
        <is>
          <t>65.02</t>
        </is>
      </c>
      <c r="F4" t="inlineStr">
        <is>
          <t>Invatamant</t>
        </is>
      </c>
      <c r="G4" t="n">
        <v>96572.75</v>
      </c>
      <c r="H4" t="n">
        <v>14.85</v>
      </c>
      <c r="I4" t="n">
        <v>1503.62</v>
      </c>
      <c r="J4" t="inlineStr">
        <is>
          <t>Capitol prezent în topul verificat al municipiului; lista nu este exhaustivă.</t>
        </is>
      </c>
    </row>
    <row r="5">
      <c r="A5" t="n">
        <v>2026</v>
      </c>
      <c r="B5" t="inlineStr">
        <is>
          <t>1017</t>
        </is>
      </c>
      <c r="C5" t="inlineStr">
        <is>
          <t>Alba Iulia</t>
        </is>
      </c>
      <c r="D5" t="inlineStr">
        <is>
          <t>Alba</t>
        </is>
      </c>
      <c r="E5" t="inlineStr">
        <is>
          <t>67.02</t>
        </is>
      </c>
      <c r="F5" t="inlineStr">
        <is>
          <t>Cultura, recreere si religie</t>
        </is>
      </c>
      <c r="G5" t="n">
        <v>67833.99000000001</v>
      </c>
      <c r="H5" t="n">
        <v>10.43</v>
      </c>
      <c r="I5" t="n">
        <v>1056.16</v>
      </c>
      <c r="J5" t="inlineStr">
        <is>
          <t>Capitol prezent în topul verificat al municipiului; lista nu este exhaustivă.</t>
        </is>
      </c>
    </row>
    <row r="6">
      <c r="A6" t="n">
        <v>2026</v>
      </c>
      <c r="B6" t="inlineStr">
        <is>
          <t>1017</t>
        </is>
      </c>
      <c r="C6" t="inlineStr">
        <is>
          <t>Alba Iulia</t>
        </is>
      </c>
      <c r="D6" t="inlineStr">
        <is>
          <t>Alba</t>
        </is>
      </c>
      <c r="E6" t="inlineStr">
        <is>
          <t>68.02</t>
        </is>
      </c>
      <c r="F6" t="inlineStr">
        <is>
          <t>Asigurari si asistenta sociala</t>
        </is>
      </c>
      <c r="G6" t="n">
        <v>59185.85</v>
      </c>
      <c r="H6" t="n">
        <v>9.1</v>
      </c>
      <c r="I6" t="n">
        <v>921.51</v>
      </c>
      <c r="J6" t="inlineStr">
        <is>
          <t>Capitol prezent în topul verificat al municipiului; lista nu este exhaustivă.</t>
        </is>
      </c>
    </row>
    <row r="7">
      <c r="A7" t="n">
        <v>2026</v>
      </c>
      <c r="B7" t="inlineStr">
        <is>
          <t>1017</t>
        </is>
      </c>
      <c r="C7" t="inlineStr">
        <is>
          <t>Alba Iulia</t>
        </is>
      </c>
      <c r="D7" t="inlineStr">
        <is>
          <t>Alba</t>
        </is>
      </c>
      <c r="E7" t="inlineStr">
        <is>
          <t>51.02</t>
        </is>
      </c>
      <c r="F7" t="inlineStr">
        <is>
          <t>Autoritati publice si actiuni externe</t>
        </is>
      </c>
      <c r="G7" t="n">
        <v>29691.96</v>
      </c>
      <c r="H7" t="n">
        <v>4.56</v>
      </c>
      <c r="I7" t="n">
        <v>462.3</v>
      </c>
      <c r="J7" t="inlineStr">
        <is>
          <t>Capitol prezent în topul verificat al municipiului; lista nu este exhaustivă.</t>
        </is>
      </c>
    </row>
    <row r="8">
      <c r="A8" t="n">
        <v>2026</v>
      </c>
      <c r="B8" t="inlineStr">
        <is>
          <t>1017</t>
        </is>
      </c>
      <c r="C8" t="inlineStr">
        <is>
          <t>Alba Iulia</t>
        </is>
      </c>
      <c r="D8" t="inlineStr">
        <is>
          <t>Alba</t>
        </is>
      </c>
      <c r="E8" t="inlineStr">
        <is>
          <t>61.02</t>
        </is>
      </c>
      <c r="F8" t="inlineStr">
        <is>
          <t>Ordine publica si siguranta nationala</t>
        </is>
      </c>
      <c r="G8" t="n">
        <v>13354.84</v>
      </c>
      <c r="H8" t="n">
        <v>2.05</v>
      </c>
      <c r="I8" t="n">
        <v>207.93</v>
      </c>
      <c r="J8" t="inlineStr">
        <is>
          <t>Capitol prezent în topul verificat al municipiului; lista nu este exhaustivă.</t>
        </is>
      </c>
    </row>
    <row r="9">
      <c r="A9" t="n">
        <v>2026</v>
      </c>
      <c r="B9" t="inlineStr">
        <is>
          <t>1017</t>
        </is>
      </c>
      <c r="C9" t="inlineStr">
        <is>
          <t>Alba Iulia</t>
        </is>
      </c>
      <c r="D9" t="inlineStr">
        <is>
          <t>Alba</t>
        </is>
      </c>
      <c r="E9" t="inlineStr">
        <is>
          <t>74.02</t>
        </is>
      </c>
      <c r="F9" t="inlineStr">
        <is>
          <t>Protectia mediului</t>
        </is>
      </c>
      <c r="G9" t="n">
        <v>9721.389999999999</v>
      </c>
      <c r="H9" t="n">
        <v>1.49</v>
      </c>
      <c r="I9" t="n">
        <v>151.36</v>
      </c>
      <c r="J9" t="inlineStr">
        <is>
          <t>Capitol prezent în topul verificat al municipiului; lista nu este exhaustivă.</t>
        </is>
      </c>
    </row>
    <row r="10">
      <c r="A10" t="n">
        <v>2026</v>
      </c>
      <c r="B10" t="inlineStr">
        <is>
          <t>1017</t>
        </is>
      </c>
      <c r="C10" t="inlineStr">
        <is>
          <t>Alba Iulia</t>
        </is>
      </c>
      <c r="D10" t="inlineStr">
        <is>
          <t>Alba</t>
        </is>
      </c>
      <c r="E10" t="inlineStr">
        <is>
          <t>55.02</t>
        </is>
      </c>
      <c r="F10" t="inlineStr">
        <is>
          <t>Tranzactii privind datoria publica si imprumuturi</t>
        </is>
      </c>
      <c r="G10" t="n">
        <v>8500</v>
      </c>
      <c r="H10" t="n">
        <v>1.31</v>
      </c>
      <c r="I10" t="n">
        <v>132.34</v>
      </c>
      <c r="J10" t="inlineStr">
        <is>
          <t>Capitol prezent în topul verificat al municipiului; lista nu este exhaustivă.</t>
        </is>
      </c>
    </row>
    <row r="11">
      <c r="A11" t="n">
        <v>2026</v>
      </c>
      <c r="B11" t="inlineStr">
        <is>
          <t>1017</t>
        </is>
      </c>
      <c r="C11" t="inlineStr">
        <is>
          <t>Alba Iulia</t>
        </is>
      </c>
      <c r="D11" t="inlineStr">
        <is>
          <t>Alba</t>
        </is>
      </c>
      <c r="E11" t="inlineStr">
        <is>
          <t>66.02</t>
        </is>
      </c>
      <c r="F11" t="inlineStr">
        <is>
          <t>Sanatate</t>
        </is>
      </c>
      <c r="G11" t="n">
        <v>7600</v>
      </c>
      <c r="H11" t="n">
        <v>1.17</v>
      </c>
      <c r="I11" t="n">
        <v>118.33</v>
      </c>
      <c r="J11" t="inlineStr">
        <is>
          <t>Capitol prezent în topul verificat al municipiului; lista nu este exhaustivă.</t>
        </is>
      </c>
    </row>
    <row r="12">
      <c r="A12" t="n">
        <v>2026</v>
      </c>
      <c r="B12" t="inlineStr">
        <is>
          <t>13169</t>
        </is>
      </c>
      <c r="C12" t="inlineStr">
        <is>
          <t>Pitești</t>
        </is>
      </c>
      <c r="D12" t="inlineStr">
        <is>
          <t>Argeș</t>
        </is>
      </c>
      <c r="E12" t="inlineStr">
        <is>
          <t>00.02</t>
        </is>
      </c>
      <c r="F12" t="inlineStr">
        <is>
          <t>1. VENITURI CURENTE</t>
        </is>
      </c>
      <c r="G12" t="n">
        <v>554489.87</v>
      </c>
      <c r="H12" t="n">
        <v>57.19</v>
      </c>
      <c r="I12" t="n">
        <v>3924.9</v>
      </c>
      <c r="J12" t="inlineStr">
        <is>
          <t>Capitol prezent în topul verificat al municipiului; lista nu este exhaustivă.</t>
        </is>
      </c>
    </row>
    <row r="13">
      <c r="A13" t="n">
        <v>2026</v>
      </c>
      <c r="B13" t="inlineStr">
        <is>
          <t>13169</t>
        </is>
      </c>
      <c r="C13" t="inlineStr">
        <is>
          <t>Pitești</t>
        </is>
      </c>
      <c r="D13" t="inlineStr">
        <is>
          <t>Argeș</t>
        </is>
      </c>
      <c r="E13" t="inlineStr">
        <is>
          <t>00.03</t>
        </is>
      </c>
      <c r="F13" t="inlineStr">
        <is>
          <t>A. VENITURI FISCALE</t>
        </is>
      </c>
      <c r="G13" t="n">
        <v>506292.87</v>
      </c>
      <c r="H13" t="n">
        <v>52.22</v>
      </c>
      <c r="I13" t="n">
        <v>3583.74</v>
      </c>
      <c r="J13" t="inlineStr">
        <is>
          <t>Capitol prezent în topul verificat al municipiului; lista nu este exhaustivă.</t>
        </is>
      </c>
    </row>
    <row r="14">
      <c r="A14" t="n">
        <v>2026</v>
      </c>
      <c r="B14" t="inlineStr">
        <is>
          <t>13169</t>
        </is>
      </c>
      <c r="C14" t="inlineStr">
        <is>
          <t>Pitești</t>
        </is>
      </c>
      <c r="D14" t="inlineStr">
        <is>
          <t>Argeș</t>
        </is>
      </c>
      <c r="E14" t="inlineStr">
        <is>
          <t>00.04</t>
        </is>
      </c>
      <c r="F14" t="inlineStr">
        <is>
          <t>A1. IMPOZIT PE VENIT, PROFIT SI CASTIGURI DIN CAPITAL (</t>
        </is>
      </c>
      <c r="G14" t="n">
        <v>287356</v>
      </c>
      <c r="H14" t="n">
        <v>29.64</v>
      </c>
      <c r="I14" t="n">
        <v>2034.02</v>
      </c>
      <c r="J14" t="inlineStr">
        <is>
          <t>Capitol prezent în topul verificat al municipiului; lista nu este exhaustivă.</t>
        </is>
      </c>
    </row>
    <row r="15">
      <c r="A15" t="n">
        <v>2026</v>
      </c>
      <c r="B15" t="inlineStr">
        <is>
          <t>13169</t>
        </is>
      </c>
      <c r="C15" t="inlineStr">
        <is>
          <t>Pitești</t>
        </is>
      </c>
      <c r="D15" t="inlineStr">
        <is>
          <t>Argeș</t>
        </is>
      </c>
      <c r="E15" t="inlineStr">
        <is>
          <t>00.06</t>
        </is>
      </c>
      <c r="F15" t="inlineStr">
        <is>
          <t>A1.2. IMPOZIT PE VENIT, PROFIT, SI CASTIGURI DIN CAPITAL</t>
        </is>
      </c>
      <c r="G15" t="n">
        <v>283685</v>
      </c>
      <c r="H15" t="n">
        <v>29.26</v>
      </c>
      <c r="I15" t="n">
        <v>2008.03</v>
      </c>
      <c r="J15" t="inlineStr">
        <is>
          <t>Capitol prezent în topul verificat al municipiului; lista nu este exhaustivă.</t>
        </is>
      </c>
    </row>
    <row r="16">
      <c r="A16" t="n">
        <v>2026</v>
      </c>
      <c r="B16" t="inlineStr">
        <is>
          <t>13169</t>
        </is>
      </c>
      <c r="C16" t="inlineStr">
        <is>
          <t>Pitești</t>
        </is>
      </c>
      <c r="D16" t="inlineStr">
        <is>
          <t>Argeș</t>
        </is>
      </c>
      <c r="E16" t="inlineStr">
        <is>
          <t>00.10</t>
        </is>
      </c>
      <c r="F16" t="inlineStr">
        <is>
          <t>A4. IMPOZITE SI TAXE PE BUNURI SI SERVICII</t>
        </is>
      </c>
      <c r="G16" t="n">
        <v>140180.87</v>
      </c>
      <c r="H16" t="n">
        <v>14.46</v>
      </c>
      <c r="I16" t="n">
        <v>992.26</v>
      </c>
      <c r="J16" t="inlineStr">
        <is>
          <t>Capitol prezent în topul verificat al municipiului; lista nu este exhaustivă.</t>
        </is>
      </c>
    </row>
    <row r="17">
      <c r="A17" t="n">
        <v>2026</v>
      </c>
      <c r="B17" t="inlineStr">
        <is>
          <t>13169</t>
        </is>
      </c>
      <c r="C17" t="inlineStr">
        <is>
          <t>Pitești</t>
        </is>
      </c>
      <c r="D17" t="inlineStr">
        <is>
          <t>Argeș</t>
        </is>
      </c>
      <c r="E17" t="inlineStr">
        <is>
          <t>74.02</t>
        </is>
      </c>
      <c r="F17" t="inlineStr">
        <is>
          <t>Protectia mediuiui</t>
        </is>
      </c>
      <c r="G17" t="n">
        <v>108086</v>
      </c>
      <c r="H17" t="n">
        <v>11.15</v>
      </c>
      <c r="I17" t="n">
        <v>765.08</v>
      </c>
      <c r="J17" t="inlineStr">
        <is>
          <t>Capitol prezent în topul verificat al municipiului; lista nu este exhaustivă.</t>
        </is>
      </c>
    </row>
    <row r="18">
      <c r="A18" t="n">
        <v>2026</v>
      </c>
      <c r="B18" t="inlineStr">
        <is>
          <t>13169</t>
        </is>
      </c>
      <c r="C18" t="inlineStr">
        <is>
          <t>Pitești</t>
        </is>
      </c>
      <c r="D18" t="inlineStr">
        <is>
          <t>Argeș</t>
        </is>
      </c>
      <c r="E18" t="inlineStr">
        <is>
          <t>70.02</t>
        </is>
      </c>
      <c r="F18" t="inlineStr">
        <is>
          <t>Locuinte, servicii si dezvoltare publica</t>
        </is>
      </c>
      <c r="G18" t="n">
        <v>89257</v>
      </c>
      <c r="H18" t="n">
        <v>9.210000000000001</v>
      </c>
      <c r="I18" t="n">
        <v>631.8</v>
      </c>
      <c r="J18" t="inlineStr">
        <is>
          <t>Capitol prezent în topul verificat al municipiului; lista nu este exhaustivă.</t>
        </is>
      </c>
    </row>
    <row r="19">
      <c r="A19" t="n">
        <v>2026</v>
      </c>
      <c r="B19" t="inlineStr">
        <is>
          <t>13169</t>
        </is>
      </c>
      <c r="C19" t="inlineStr">
        <is>
          <t>Pitești</t>
        </is>
      </c>
      <c r="D19" t="inlineStr">
        <is>
          <t>Argeș</t>
        </is>
      </c>
      <c r="E19" t="inlineStr">
        <is>
          <t>00.09</t>
        </is>
      </c>
      <c r="F19" t="inlineStr">
        <is>
          <t>A3. IMPOZITE SI TAXE PE PROPRIETATE (d 07.02)</t>
        </is>
      </c>
      <c r="G19" t="n">
        <v>78730</v>
      </c>
      <c r="H19" t="n">
        <v>8.119999999999999</v>
      </c>
      <c r="I19" t="n">
        <v>557.28</v>
      </c>
      <c r="J19" t="inlineStr">
        <is>
          <t>Capitol prezent în topul verificat al municipiului; lista nu este exhaustivă.</t>
        </is>
      </c>
    </row>
    <row r="20">
      <c r="A20" t="n">
        <v>2026</v>
      </c>
      <c r="B20" t="inlineStr">
        <is>
          <t>13169</t>
        </is>
      </c>
      <c r="C20" t="inlineStr">
        <is>
          <t>Pitești</t>
        </is>
      </c>
      <c r="D20" t="inlineStr">
        <is>
          <t>Argeș</t>
        </is>
      </c>
      <c r="E20" t="inlineStr">
        <is>
          <t>81.02</t>
        </is>
      </c>
      <c r="F20" t="inlineStr">
        <is>
          <t>Combustibili si energie</t>
        </is>
      </c>
      <c r="G20" t="n">
        <v>60582</v>
      </c>
      <c r="H20" t="n">
        <v>6.25</v>
      </c>
      <c r="I20" t="n">
        <v>428.82</v>
      </c>
      <c r="J20" t="inlineStr">
        <is>
          <t>Capitol prezent în topul verificat al municipiului; lista nu este exhaustivă.</t>
        </is>
      </c>
    </row>
    <row r="21">
      <c r="A21" t="n">
        <v>2026</v>
      </c>
      <c r="B21" t="inlineStr">
        <is>
          <t>13169</t>
        </is>
      </c>
      <c r="C21" t="inlineStr">
        <is>
          <t>Pitești</t>
        </is>
      </c>
      <c r="D21" t="inlineStr">
        <is>
          <t>Argeș</t>
        </is>
      </c>
      <c r="E21" t="inlineStr">
        <is>
          <t>51.02</t>
        </is>
      </c>
      <c r="F21" t="inlineStr">
        <is>
          <t>Autoritati publice si actiuni externe</t>
        </is>
      </c>
      <c r="G21" t="n">
        <v>51256</v>
      </c>
      <c r="H21" t="n">
        <v>5.29</v>
      </c>
      <c r="I21" t="n">
        <v>362.81</v>
      </c>
      <c r="J21" t="inlineStr">
        <is>
          <t>Capitol prezent în topul verificat al municipiului; lista nu este exhaustivă.</t>
        </is>
      </c>
    </row>
    <row r="22">
      <c r="A22" t="n">
        <v>2026</v>
      </c>
      <c r="B22" t="inlineStr">
        <is>
          <t>26564</t>
        </is>
      </c>
      <c r="C22" t="inlineStr">
        <is>
          <t>Oradea</t>
        </is>
      </c>
      <c r="D22" t="inlineStr">
        <is>
          <t>Bihor</t>
        </is>
      </c>
      <c r="E22" t="inlineStr">
        <is>
          <t>65.02</t>
        </is>
      </c>
      <c r="F22" t="inlineStr">
        <is>
          <t>INVATAMANT</t>
        </is>
      </c>
      <c r="G22" t="n">
        <v>437588.54</v>
      </c>
      <c r="H22" t="n">
        <v>23.28</v>
      </c>
      <c r="I22" t="n">
        <v>2389.82</v>
      </c>
      <c r="J22" t="inlineStr">
        <is>
          <t>Capitol prezent în topul verificat al municipiului; lista nu este exhaustivă.</t>
        </is>
      </c>
    </row>
    <row r="23">
      <c r="A23" t="n">
        <v>2026</v>
      </c>
      <c r="B23" t="inlineStr">
        <is>
          <t>26564</t>
        </is>
      </c>
      <c r="C23" t="inlineStr">
        <is>
          <t>Oradea</t>
        </is>
      </c>
      <c r="D23" t="inlineStr">
        <is>
          <t>Bihor</t>
        </is>
      </c>
      <c r="E23" t="inlineStr">
        <is>
          <t>84.02</t>
        </is>
      </c>
      <c r="F23" t="inlineStr">
        <is>
          <t>TRANSPORTURI</t>
        </is>
      </c>
      <c r="G23" t="n">
        <v>309445.87</v>
      </c>
      <c r="H23" t="n">
        <v>16.46</v>
      </c>
      <c r="I23" t="n">
        <v>1689.99</v>
      </c>
      <c r="J23" t="inlineStr">
        <is>
          <t>Capitol prezent în topul verificat al municipiului; lista nu este exhaustivă.</t>
        </is>
      </c>
    </row>
    <row r="24">
      <c r="A24" t="n">
        <v>2026</v>
      </c>
      <c r="B24" t="inlineStr">
        <is>
          <t>26564</t>
        </is>
      </c>
      <c r="C24" t="inlineStr">
        <is>
          <t>Oradea</t>
        </is>
      </c>
      <c r="D24" t="inlineStr">
        <is>
          <t>Bihor</t>
        </is>
      </c>
      <c r="E24" t="inlineStr">
        <is>
          <t>70.02</t>
        </is>
      </c>
      <c r="F24" t="inlineStr">
        <is>
          <t>LOCUINTE, SERVICII SI DEZVOLTARE</t>
        </is>
      </c>
      <c r="G24" t="n">
        <v>247704.84</v>
      </c>
      <c r="H24" t="n">
        <v>13.18</v>
      </c>
      <c r="I24" t="n">
        <v>1352.8</v>
      </c>
      <c r="J24" t="inlineStr">
        <is>
          <t>Capitol prezent în topul verificat al municipiului; lista nu este exhaustivă.</t>
        </is>
      </c>
    </row>
    <row r="25">
      <c r="A25" t="n">
        <v>2026</v>
      </c>
      <c r="B25" t="inlineStr">
        <is>
          <t>26564</t>
        </is>
      </c>
      <c r="C25" t="inlineStr">
        <is>
          <t>Oradea</t>
        </is>
      </c>
      <c r="D25" t="inlineStr">
        <is>
          <t>Bihor</t>
        </is>
      </c>
      <c r="E25" t="inlineStr">
        <is>
          <t>81.02</t>
        </is>
      </c>
      <c r="F25" t="inlineStr">
        <is>
          <t>COMBUSTIBILI SI ENERGIE</t>
        </is>
      </c>
      <c r="G25" t="n">
        <v>223090.15</v>
      </c>
      <c r="H25" t="n">
        <v>11.87</v>
      </c>
      <c r="I25" t="n">
        <v>1218.37</v>
      </c>
      <c r="J25" t="inlineStr">
        <is>
          <t>Capitol prezent în topul verificat al municipiului; lista nu este exhaustivă.</t>
        </is>
      </c>
    </row>
    <row r="26">
      <c r="A26" t="n">
        <v>2026</v>
      </c>
      <c r="B26" t="inlineStr">
        <is>
          <t>26564</t>
        </is>
      </c>
      <c r="C26" t="inlineStr">
        <is>
          <t>Oradea</t>
        </is>
      </c>
      <c r="D26" t="inlineStr">
        <is>
          <t>Bihor</t>
        </is>
      </c>
      <c r="E26" t="inlineStr">
        <is>
          <t>67.02</t>
        </is>
      </c>
      <c r="F26" t="inlineStr">
        <is>
          <t>CULTURA, RECREERE SI RELIGIE</t>
        </is>
      </c>
      <c r="G26" t="n">
        <v>162336.17</v>
      </c>
      <c r="H26" t="n">
        <v>8.640000000000001</v>
      </c>
      <c r="I26" t="n">
        <v>886.5700000000001</v>
      </c>
      <c r="J26" t="inlineStr">
        <is>
          <t>Capitol prezent în topul verificat al municipiului; lista nu este exhaustivă.</t>
        </is>
      </c>
    </row>
    <row r="27">
      <c r="A27" t="n">
        <v>2026</v>
      </c>
      <c r="B27" t="inlineStr">
        <is>
          <t>26564</t>
        </is>
      </c>
      <c r="C27" t="inlineStr">
        <is>
          <t>Oradea</t>
        </is>
      </c>
      <c r="D27" t="inlineStr">
        <is>
          <t>Bihor</t>
        </is>
      </c>
      <c r="E27" t="inlineStr">
        <is>
          <t>51.02</t>
        </is>
      </c>
      <c r="F27" t="inlineStr">
        <is>
          <t>AUTORITATI PUBLICE SI ACTIUNI EXTERNE</t>
        </is>
      </c>
      <c r="G27" t="n">
        <v>122321.61</v>
      </c>
      <c r="H27" t="n">
        <v>6.51</v>
      </c>
      <c r="I27" t="n">
        <v>668.04</v>
      </c>
      <c r="J27" t="inlineStr">
        <is>
          <t>Capitol prezent în topul verificat al municipiului; lista nu este exhaustivă.</t>
        </is>
      </c>
    </row>
    <row r="28">
      <c r="A28" t="n">
        <v>2026</v>
      </c>
      <c r="B28" t="inlineStr">
        <is>
          <t>26564</t>
        </is>
      </c>
      <c r="C28" t="inlineStr">
        <is>
          <t>Oradea</t>
        </is>
      </c>
      <c r="D28" t="inlineStr">
        <is>
          <t>Bihor</t>
        </is>
      </c>
      <c r="E28" t="inlineStr">
        <is>
          <t>68.02</t>
        </is>
      </c>
      <c r="F28" t="inlineStr">
        <is>
          <t>ASIGURARI SI ASISTENTA SOCIALA</t>
        </is>
      </c>
      <c r="G28" t="n">
        <v>100971.34</v>
      </c>
      <c r="H28" t="n">
        <v>5.37</v>
      </c>
      <c r="I28" t="n">
        <v>551.4400000000001</v>
      </c>
      <c r="J28" t="inlineStr">
        <is>
          <t>Capitol prezent în topul verificat al municipiului; lista nu este exhaustivă.</t>
        </is>
      </c>
    </row>
    <row r="29">
      <c r="A29" t="n">
        <v>2026</v>
      </c>
      <c r="B29" t="inlineStr">
        <is>
          <t>26564</t>
        </is>
      </c>
      <c r="C29" t="inlineStr">
        <is>
          <t>Oradea</t>
        </is>
      </c>
      <c r="D29" t="inlineStr">
        <is>
          <t>Bihor</t>
        </is>
      </c>
      <c r="E29" t="inlineStr">
        <is>
          <t>74.02</t>
        </is>
      </c>
      <c r="F29" t="inlineStr">
        <is>
          <t>PROTECTIA MEDIULUI</t>
        </is>
      </c>
      <c r="G29" t="n">
        <v>94639.49000000001</v>
      </c>
      <c r="H29" t="n">
        <v>5.03</v>
      </c>
      <c r="I29" t="n">
        <v>516.86</v>
      </c>
      <c r="J29" t="inlineStr">
        <is>
          <t>Capitol prezent în topul verificat al municipiului; lista nu este exhaustivă.</t>
        </is>
      </c>
    </row>
    <row r="30">
      <c r="A30" t="n">
        <v>2026</v>
      </c>
      <c r="B30" t="inlineStr">
        <is>
          <t>26564</t>
        </is>
      </c>
      <c r="C30" t="inlineStr">
        <is>
          <t>Oradea</t>
        </is>
      </c>
      <c r="D30" t="inlineStr">
        <is>
          <t>Bihor</t>
        </is>
      </c>
      <c r="E30" t="inlineStr">
        <is>
          <t>66.02</t>
        </is>
      </c>
      <c r="F30" t="inlineStr">
        <is>
          <t>SANATATE</t>
        </is>
      </c>
      <c r="G30" t="n">
        <v>93738.06</v>
      </c>
      <c r="H30" t="n">
        <v>4.99</v>
      </c>
      <c r="I30" t="n">
        <v>511.94</v>
      </c>
      <c r="J30" t="inlineStr">
        <is>
          <t>Capitol prezent în topul verificat al municipiului; lista nu este exhaustivă.</t>
        </is>
      </c>
    </row>
    <row r="31">
      <c r="A31" t="n">
        <v>2026</v>
      </c>
      <c r="B31" t="inlineStr">
        <is>
          <t>26564</t>
        </is>
      </c>
      <c r="C31" t="inlineStr">
        <is>
          <t>Oradea</t>
        </is>
      </c>
      <c r="D31" t="inlineStr">
        <is>
          <t>Bihor</t>
        </is>
      </c>
      <c r="E31" t="inlineStr">
        <is>
          <t>55.02</t>
        </is>
      </c>
      <c r="F31" t="inlineStr">
        <is>
          <t>TRANZACTII PRIVIND DATORIA PUBLICA SI IMPRUMUTURI</t>
        </is>
      </c>
      <c r="G31" t="n">
        <v>48385.46</v>
      </c>
      <c r="H31" t="n">
        <v>2.57</v>
      </c>
      <c r="I31" t="n">
        <v>264.25</v>
      </c>
      <c r="J31" t="inlineStr">
        <is>
          <t>Capitol prezent în topul verificat al municipiului; lista nu este exhaustivă.</t>
        </is>
      </c>
    </row>
    <row r="32">
      <c r="A32" t="n">
        <v>2026</v>
      </c>
      <c r="B32" t="inlineStr">
        <is>
          <t>35731</t>
        </is>
      </c>
      <c r="C32" t="inlineStr">
        <is>
          <t>Botoșani</t>
        </is>
      </c>
      <c r="D32" t="inlineStr">
        <is>
          <t>Botoșani</t>
        </is>
      </c>
      <c r="E32" t="inlineStr">
        <is>
          <t>65.02</t>
        </is>
      </c>
      <c r="F32" t="inlineStr">
        <is>
          <t>Invatamant</t>
        </is>
      </c>
      <c r="G32" t="n">
        <v>83742.69</v>
      </c>
      <c r="H32" t="n">
        <v>15.01</v>
      </c>
      <c r="I32" t="n">
        <v>930.37</v>
      </c>
      <c r="J32" t="inlineStr">
        <is>
          <t>Capitol prezent în topul verificat al municipiului; lista nu este exhaustivă.</t>
        </is>
      </c>
    </row>
    <row r="33">
      <c r="A33" t="n">
        <v>2026</v>
      </c>
      <c r="B33" t="inlineStr">
        <is>
          <t>35731</t>
        </is>
      </c>
      <c r="C33" t="inlineStr">
        <is>
          <t>Botoșani</t>
        </is>
      </c>
      <c r="D33" t="inlineStr">
        <is>
          <t>Botoșani</t>
        </is>
      </c>
      <c r="E33" t="inlineStr">
        <is>
          <t>66.10</t>
        </is>
      </c>
      <c r="F33" t="inlineStr">
        <is>
          <t>Sanatate</t>
        </is>
      </c>
      <c r="G33" t="n">
        <v>83168.85000000001</v>
      </c>
      <c r="H33" t="n">
        <v>14.91</v>
      </c>
      <c r="I33" t="n">
        <v>924</v>
      </c>
      <c r="J33" t="inlineStr">
        <is>
          <t>Capitol prezent în topul verificat al municipiului; lista nu este exhaustivă.</t>
        </is>
      </c>
    </row>
    <row r="34">
      <c r="A34" t="n">
        <v>2026</v>
      </c>
      <c r="B34" t="inlineStr">
        <is>
          <t>35731</t>
        </is>
      </c>
      <c r="C34" t="inlineStr">
        <is>
          <t>Botoșani</t>
        </is>
      </c>
      <c r="D34" t="inlineStr">
        <is>
          <t>Botoșani</t>
        </is>
      </c>
      <c r="E34" t="inlineStr">
        <is>
          <t>51.02</t>
        </is>
      </c>
      <c r="F34" t="inlineStr">
        <is>
          <t>Autoritati publice si actiuni externe</t>
        </is>
      </c>
      <c r="G34" t="n">
        <v>49276.43</v>
      </c>
      <c r="H34" t="n">
        <v>8.83</v>
      </c>
      <c r="I34" t="n">
        <v>547.46</v>
      </c>
      <c r="J34" t="inlineStr">
        <is>
          <t>Capitol prezent în topul verificat al municipiului; lista nu este exhaustivă.</t>
        </is>
      </c>
    </row>
    <row r="35">
      <c r="A35" t="n">
        <v>2026</v>
      </c>
      <c r="B35" t="inlineStr">
        <is>
          <t>35731</t>
        </is>
      </c>
      <c r="C35" t="inlineStr">
        <is>
          <t>Botoșani</t>
        </is>
      </c>
      <c r="D35" t="inlineStr">
        <is>
          <t>Botoșani</t>
        </is>
      </c>
      <c r="E35" t="inlineStr">
        <is>
          <t>74.02</t>
        </is>
      </c>
      <c r="F35" t="inlineStr">
        <is>
          <t>Protecţia mediului</t>
        </is>
      </c>
      <c r="G35" t="n">
        <v>41207.6</v>
      </c>
      <c r="H35" t="n">
        <v>7.39</v>
      </c>
      <c r="I35" t="n">
        <v>457.81</v>
      </c>
      <c r="J35" t="inlineStr">
        <is>
          <t>Capitol prezent în topul verificat al municipiului; lista nu este exhaustivă.</t>
        </is>
      </c>
    </row>
    <row r="36">
      <c r="A36" t="n">
        <v>2026</v>
      </c>
      <c r="B36" t="inlineStr">
        <is>
          <t>35731</t>
        </is>
      </c>
      <c r="C36" t="inlineStr">
        <is>
          <t>Botoșani</t>
        </is>
      </c>
      <c r="D36" t="inlineStr">
        <is>
          <t>Botoșani</t>
        </is>
      </c>
      <c r="E36" t="inlineStr">
        <is>
          <t>84.02</t>
        </is>
      </c>
      <c r="F36" t="inlineStr">
        <is>
          <t>Transporturi</t>
        </is>
      </c>
      <c r="G36" t="n">
        <v>28400</v>
      </c>
      <c r="H36" t="n">
        <v>5.09</v>
      </c>
      <c r="I36" t="n">
        <v>315.52</v>
      </c>
      <c r="J36" t="inlineStr">
        <is>
          <t>Capitol prezent în topul verificat al municipiului; lista nu este exhaustivă.</t>
        </is>
      </c>
    </row>
    <row r="37">
      <c r="A37" t="n">
        <v>2026</v>
      </c>
      <c r="B37" t="inlineStr">
        <is>
          <t>35731</t>
        </is>
      </c>
      <c r="C37" t="inlineStr">
        <is>
          <t>Botoșani</t>
        </is>
      </c>
      <c r="D37" t="inlineStr">
        <is>
          <t>Botoșani</t>
        </is>
      </c>
      <c r="E37" t="inlineStr">
        <is>
          <t>67.10</t>
        </is>
      </c>
      <c r="F37" t="inlineStr">
        <is>
          <t>Cultura, recreere si religie</t>
        </is>
      </c>
      <c r="G37" t="n">
        <v>27120.14</v>
      </c>
      <c r="H37" t="n">
        <v>4.86</v>
      </c>
      <c r="I37" t="n">
        <v>301.3</v>
      </c>
      <c r="J37" t="inlineStr">
        <is>
          <t>Capitol prezent în topul verificat al municipiului; lista nu este exhaustivă.</t>
        </is>
      </c>
    </row>
    <row r="38">
      <c r="A38" t="n">
        <v>2026</v>
      </c>
      <c r="B38" t="inlineStr">
        <is>
          <t>35731</t>
        </is>
      </c>
      <c r="C38" t="inlineStr">
        <is>
          <t>Botoșani</t>
        </is>
      </c>
      <c r="D38" t="inlineStr">
        <is>
          <t>Botoșani</t>
        </is>
      </c>
      <c r="E38" t="inlineStr">
        <is>
          <t>67.02</t>
        </is>
      </c>
      <c r="F38" t="inlineStr">
        <is>
          <t>CULTURA, RECREERE SI RELIGIE</t>
        </is>
      </c>
      <c r="G38" t="n">
        <v>26452.62</v>
      </c>
      <c r="H38" t="n">
        <v>4.74</v>
      </c>
      <c r="I38" t="n">
        <v>293.89</v>
      </c>
      <c r="J38" t="inlineStr">
        <is>
          <t>Capitol prezent în topul verificat al municipiului; lista nu este exhaustivă.</t>
        </is>
      </c>
    </row>
    <row r="39">
      <c r="A39" t="n">
        <v>2026</v>
      </c>
      <c r="B39" t="inlineStr">
        <is>
          <t>35731</t>
        </is>
      </c>
      <c r="C39" t="inlineStr">
        <is>
          <t>Botoșani</t>
        </is>
      </c>
      <c r="D39" t="inlineStr">
        <is>
          <t>Botoșani</t>
        </is>
      </c>
      <c r="E39" t="inlineStr">
        <is>
          <t>81.02</t>
        </is>
      </c>
      <c r="F39" t="inlineStr">
        <is>
          <t>Combustibil si energie</t>
        </is>
      </c>
      <c r="G39" t="n">
        <v>16850</v>
      </c>
      <c r="H39" t="n">
        <v>3.02</v>
      </c>
      <c r="I39" t="n">
        <v>187.2</v>
      </c>
      <c r="J39" t="inlineStr">
        <is>
          <t>Capitol prezent în topul verificat al municipiului; lista nu este exhaustivă.</t>
        </is>
      </c>
    </row>
    <row r="40">
      <c r="A40" t="n">
        <v>2026</v>
      </c>
      <c r="B40" t="inlineStr">
        <is>
          <t>35731</t>
        </is>
      </c>
      <c r="C40" t="inlineStr">
        <is>
          <t>Botoșani</t>
        </is>
      </c>
      <c r="D40" t="inlineStr">
        <is>
          <t>Botoșani</t>
        </is>
      </c>
      <c r="E40" t="inlineStr">
        <is>
          <t>55.02</t>
        </is>
      </c>
      <c r="F40" t="inlineStr">
        <is>
          <t>Tranzactii privind datoria publica si</t>
        </is>
      </c>
      <c r="G40" t="n">
        <v>12810.81</v>
      </c>
      <c r="H40" t="n">
        <v>2.3</v>
      </c>
      <c r="I40" t="n">
        <v>142.33</v>
      </c>
      <c r="J40" t="inlineStr">
        <is>
          <t>Capitol prezent în topul verificat al municipiului; lista nu este exhaustivă.</t>
        </is>
      </c>
    </row>
    <row r="41">
      <c r="A41" t="n">
        <v>2026</v>
      </c>
      <c r="B41" t="inlineStr">
        <is>
          <t>35731</t>
        </is>
      </c>
      <c r="C41" t="inlineStr">
        <is>
          <t>Botoșani</t>
        </is>
      </c>
      <c r="D41" t="inlineStr">
        <is>
          <t>Botoșani</t>
        </is>
      </c>
      <c r="E41" t="inlineStr">
        <is>
          <t>65.10</t>
        </is>
      </c>
      <c r="F41" t="inlineStr">
        <is>
          <t>Invatamant</t>
        </is>
      </c>
      <c r="G41" t="n">
        <v>11349.13</v>
      </c>
      <c r="H41" t="n">
        <v>2.03</v>
      </c>
      <c r="I41" t="n">
        <v>126.09</v>
      </c>
      <c r="J41" t="inlineStr">
        <is>
          <t>Capitol prezent în topul verificat al municipiului; lista nu este exhaustivă.</t>
        </is>
      </c>
    </row>
    <row r="42">
      <c r="A42" t="n">
        <v>2026</v>
      </c>
      <c r="B42" t="inlineStr">
        <is>
          <t>40198</t>
        </is>
      </c>
      <c r="C42" t="inlineStr">
        <is>
          <t>Brașov</t>
        </is>
      </c>
      <c r="D42" t="inlineStr">
        <is>
          <t>Brașov</t>
        </is>
      </c>
      <c r="E42" t="inlineStr">
        <is>
          <t>67.02</t>
        </is>
      </c>
      <c r="F42" t="inlineStr">
        <is>
          <t>Cultura, recreere si religie</t>
        </is>
      </c>
      <c r="G42" t="n">
        <v>257823.71</v>
      </c>
      <c r="H42" t="n">
        <v>16.12</v>
      </c>
      <c r="I42" t="n">
        <v>1085.17</v>
      </c>
      <c r="J42" t="inlineStr">
        <is>
          <t>Capitol prezent în topul verificat al municipiului; lista nu este exhaustivă.</t>
        </is>
      </c>
    </row>
    <row r="43">
      <c r="A43" t="n">
        <v>2026</v>
      </c>
      <c r="B43" t="inlineStr">
        <is>
          <t>40198</t>
        </is>
      </c>
      <c r="C43" t="inlineStr">
        <is>
          <t>Brașov</t>
        </is>
      </c>
      <c r="D43" t="inlineStr">
        <is>
          <t>Brașov</t>
        </is>
      </c>
      <c r="E43" t="inlineStr">
        <is>
          <t>70.02</t>
        </is>
      </c>
      <c r="F43" t="inlineStr">
        <is>
          <t>Locuinte, servicii si dezvoltare publica</t>
        </is>
      </c>
      <c r="G43" t="n">
        <v>174861.96</v>
      </c>
      <c r="H43" t="n">
        <v>10.93</v>
      </c>
      <c r="I43" t="n">
        <v>735.99</v>
      </c>
      <c r="J43" t="inlineStr">
        <is>
          <t>Capitol prezent în topul verificat al municipiului; lista nu este exhaustivă.</t>
        </is>
      </c>
    </row>
    <row r="44">
      <c r="A44" t="n">
        <v>2026</v>
      </c>
      <c r="B44" t="inlineStr">
        <is>
          <t>40198</t>
        </is>
      </c>
      <c r="C44" t="inlineStr">
        <is>
          <t>Brașov</t>
        </is>
      </c>
      <c r="D44" t="inlineStr">
        <is>
          <t>Brașov</t>
        </is>
      </c>
      <c r="E44" t="inlineStr">
        <is>
          <t>65.02</t>
        </is>
      </c>
      <c r="F44" t="inlineStr">
        <is>
          <t>Invatamant</t>
        </is>
      </c>
      <c r="G44" t="n">
        <v>108954.2</v>
      </c>
      <c r="H44" t="n">
        <v>6.81</v>
      </c>
      <c r="I44" t="n">
        <v>458.58</v>
      </c>
      <c r="J44" t="inlineStr">
        <is>
          <t>Capitol prezent în topul verificat al municipiului; lista nu este exhaustivă.</t>
        </is>
      </c>
    </row>
    <row r="45">
      <c r="A45" t="n">
        <v>2026</v>
      </c>
      <c r="B45" t="inlineStr">
        <is>
          <t>40198</t>
        </is>
      </c>
      <c r="C45" t="inlineStr">
        <is>
          <t>Brașov</t>
        </is>
      </c>
      <c r="D45" t="inlineStr">
        <is>
          <t>Brașov</t>
        </is>
      </c>
      <c r="E45" t="inlineStr">
        <is>
          <t>74.02</t>
        </is>
      </c>
      <c r="F45" t="inlineStr">
        <is>
          <t>Protectia mediului</t>
        </is>
      </c>
      <c r="G45" t="n">
        <v>101429.2</v>
      </c>
      <c r="H45" t="n">
        <v>6.34</v>
      </c>
      <c r="I45" t="n">
        <v>426.91</v>
      </c>
      <c r="J45" t="inlineStr">
        <is>
          <t>Capitol prezent în topul verificat al municipiului; lista nu este exhaustivă.</t>
        </is>
      </c>
    </row>
    <row r="46">
      <c r="A46" t="n">
        <v>2026</v>
      </c>
      <c r="B46" t="inlineStr">
        <is>
          <t>40198</t>
        </is>
      </c>
      <c r="C46" t="inlineStr">
        <is>
          <t>Brașov</t>
        </is>
      </c>
      <c r="D46" t="inlineStr">
        <is>
          <t>Brașov</t>
        </is>
      </c>
      <c r="E46" t="inlineStr">
        <is>
          <t>81.02</t>
        </is>
      </c>
      <c r="F46" t="inlineStr">
        <is>
          <t>Combustibili si energie</t>
        </is>
      </c>
      <c r="G46" t="n">
        <v>51506.33</v>
      </c>
      <c r="H46" t="n">
        <v>3.22</v>
      </c>
      <c r="I46" t="n">
        <v>216.79</v>
      </c>
      <c r="J46" t="inlineStr">
        <is>
          <t>Capitol prezent în topul verificat al municipiului; lista nu este exhaustivă.</t>
        </is>
      </c>
    </row>
    <row r="47">
      <c r="A47" t="n">
        <v>2026</v>
      </c>
      <c r="B47" t="inlineStr">
        <is>
          <t>40198</t>
        </is>
      </c>
      <c r="C47" t="inlineStr">
        <is>
          <t>Brașov</t>
        </is>
      </c>
      <c r="D47" t="inlineStr">
        <is>
          <t>Brașov</t>
        </is>
      </c>
      <c r="E47" t="inlineStr">
        <is>
          <t>61.02</t>
        </is>
      </c>
      <c r="F47" t="inlineStr">
        <is>
          <t>Ordine publica si siguranta nationala</t>
        </is>
      </c>
      <c r="G47" t="n">
        <v>38534.5</v>
      </c>
      <c r="H47" t="n">
        <v>2.41</v>
      </c>
      <c r="I47" t="n">
        <v>162.19</v>
      </c>
      <c r="J47" t="inlineStr">
        <is>
          <t>Capitol prezent în topul verificat al municipiului; lista nu este exhaustivă.</t>
        </is>
      </c>
    </row>
    <row r="48">
      <c r="A48" t="n">
        <v>2026</v>
      </c>
      <c r="B48" t="inlineStr">
        <is>
          <t>40198</t>
        </is>
      </c>
      <c r="C48" t="inlineStr">
        <is>
          <t>Brașov</t>
        </is>
      </c>
      <c r="D48" t="inlineStr">
        <is>
          <t>Brașov</t>
        </is>
      </c>
      <c r="E48" t="inlineStr">
        <is>
          <t>66.02</t>
        </is>
      </c>
      <c r="F48" t="inlineStr">
        <is>
          <t>Sanatate</t>
        </is>
      </c>
      <c r="G48" t="n">
        <v>33870</v>
      </c>
      <c r="H48" t="n">
        <v>2.12</v>
      </c>
      <c r="I48" t="n">
        <v>142.56</v>
      </c>
      <c r="J48" t="inlineStr">
        <is>
          <t>Capitol prezent în topul verificat al municipiului; lista nu este exhaustivă.</t>
        </is>
      </c>
    </row>
    <row r="49">
      <c r="A49" t="n">
        <v>2026</v>
      </c>
      <c r="B49" t="inlineStr">
        <is>
          <t>40198</t>
        </is>
      </c>
      <c r="C49" t="inlineStr">
        <is>
          <t>Brașov</t>
        </is>
      </c>
      <c r="D49" t="inlineStr">
        <is>
          <t>Brașov</t>
        </is>
      </c>
      <c r="E49" t="inlineStr">
        <is>
          <t>54.02</t>
        </is>
      </c>
      <c r="F49" t="inlineStr">
        <is>
          <t>Alte servicii publice generale</t>
        </is>
      </c>
      <c r="G49" t="n">
        <v>20676.45</v>
      </c>
      <c r="H49" t="n">
        <v>1.29</v>
      </c>
      <c r="I49" t="n">
        <v>87.03</v>
      </c>
      <c r="J49" t="inlineStr">
        <is>
          <t>Capitol prezent în topul verificat al municipiului; lista nu este exhaustivă.</t>
        </is>
      </c>
    </row>
    <row r="50">
      <c r="A50" t="n">
        <v>2026</v>
      </c>
      <c r="B50" t="inlineStr">
        <is>
          <t>40198</t>
        </is>
      </c>
      <c r="C50" t="inlineStr">
        <is>
          <t>Brașov</t>
        </is>
      </c>
      <c r="D50" t="inlineStr">
        <is>
          <t>Brașov</t>
        </is>
      </c>
      <c r="E50" t="inlineStr">
        <is>
          <t>87.02</t>
        </is>
      </c>
      <c r="F50" t="inlineStr">
        <is>
          <t>Alte actiuni economice</t>
        </is>
      </c>
      <c r="G50" t="n">
        <v>16272</v>
      </c>
      <c r="H50" t="n">
        <v>1.02</v>
      </c>
      <c r="I50" t="n">
        <v>68.48999999999999</v>
      </c>
      <c r="J50" t="inlineStr">
        <is>
          <t>Capitol prezent în topul verificat al municipiului; lista nu este exhaustivă.</t>
        </is>
      </c>
    </row>
    <row r="51">
      <c r="A51" t="n">
        <v>2026</v>
      </c>
      <c r="B51" t="inlineStr">
        <is>
          <t>40198</t>
        </is>
      </c>
      <c r="C51" t="inlineStr">
        <is>
          <t>Brașov</t>
        </is>
      </c>
      <c r="D51" t="inlineStr">
        <is>
          <t>Brașov</t>
        </is>
      </c>
      <c r="E51" t="inlineStr">
        <is>
          <t>55.02</t>
        </is>
      </c>
      <c r="F51" t="inlineStr">
        <is>
          <t>Tranzactii privind datoria publica si imprumuturi</t>
        </is>
      </c>
      <c r="G51" t="n">
        <v>9069</v>
      </c>
      <c r="H51" t="n">
        <v>0.57</v>
      </c>
      <c r="I51" t="n">
        <v>38.17</v>
      </c>
      <c r="J51" t="inlineStr">
        <is>
          <t>Capitol prezent în topul verificat al municipiului; lista nu este exhaustivă.</t>
        </is>
      </c>
    </row>
    <row r="52">
      <c r="A52" t="n">
        <v>2026</v>
      </c>
      <c r="B52" t="inlineStr">
        <is>
          <t>42682</t>
        </is>
      </c>
      <c r="C52" t="inlineStr">
        <is>
          <t>Brăila</t>
        </is>
      </c>
      <c r="D52" t="inlineStr">
        <is>
          <t>Brăila</t>
        </is>
      </c>
      <c r="E52" t="inlineStr">
        <is>
          <t>68.02</t>
        </is>
      </c>
      <c r="F52" t="inlineStr">
        <is>
          <t>Asigurari si asistenta sociala</t>
        </is>
      </c>
      <c r="G52" t="n">
        <v>162637</v>
      </c>
      <c r="H52" t="n">
        <v>29.54</v>
      </c>
      <c r="I52" t="n">
        <v>1051.4</v>
      </c>
      <c r="J52" t="inlineStr">
        <is>
          <t>Capitol prezent în topul verificat al municipiului; lista nu este exhaustivă.</t>
        </is>
      </c>
    </row>
    <row r="53">
      <c r="A53" t="n">
        <v>2026</v>
      </c>
      <c r="B53" t="inlineStr">
        <is>
          <t>42682</t>
        </is>
      </c>
      <c r="C53" t="inlineStr">
        <is>
          <t>Brăila</t>
        </is>
      </c>
      <c r="D53" t="inlineStr">
        <is>
          <t>Brăila</t>
        </is>
      </c>
      <c r="E53" t="inlineStr">
        <is>
          <t>84.02</t>
        </is>
      </c>
      <c r="F53" t="inlineStr">
        <is>
          <t>Transporturi</t>
        </is>
      </c>
      <c r="G53" t="n">
        <v>86976.42</v>
      </c>
      <c r="H53" t="n">
        <v>15.8</v>
      </c>
      <c r="I53" t="n">
        <v>562.28</v>
      </c>
      <c r="J53" t="inlineStr">
        <is>
          <t>Capitol prezent în topul verificat al municipiului; lista nu este exhaustivă.</t>
        </is>
      </c>
    </row>
    <row r="54">
      <c r="A54" t="n">
        <v>2026</v>
      </c>
      <c r="B54" t="inlineStr">
        <is>
          <t>42682</t>
        </is>
      </c>
      <c r="C54" t="inlineStr">
        <is>
          <t>Brăila</t>
        </is>
      </c>
      <c r="D54" t="inlineStr">
        <is>
          <t>Brăila</t>
        </is>
      </c>
      <c r="E54" t="inlineStr">
        <is>
          <t>65.02</t>
        </is>
      </c>
      <c r="F54" t="inlineStr">
        <is>
          <t>Invatamant</t>
        </is>
      </c>
      <c r="G54" t="n">
        <v>85656.03999999999</v>
      </c>
      <c r="H54" t="n">
        <v>15.56</v>
      </c>
      <c r="I54" t="n">
        <v>553.74</v>
      </c>
      <c r="J54" t="inlineStr">
        <is>
          <t>Capitol prezent în topul verificat al municipiului; lista nu este exhaustivă.</t>
        </is>
      </c>
    </row>
    <row r="55">
      <c r="A55" t="n">
        <v>2026</v>
      </c>
      <c r="B55" t="inlineStr">
        <is>
          <t>42682</t>
        </is>
      </c>
      <c r="C55" t="inlineStr">
        <is>
          <t>Brăila</t>
        </is>
      </c>
      <c r="D55" t="inlineStr">
        <is>
          <t>Brăila</t>
        </is>
      </c>
      <c r="E55" t="inlineStr">
        <is>
          <t>51.02</t>
        </is>
      </c>
      <c r="F55" t="inlineStr">
        <is>
          <t>Autoritati publice si actiuni externe</t>
        </is>
      </c>
      <c r="G55" t="n">
        <v>61277</v>
      </c>
      <c r="H55" t="n">
        <v>11.13</v>
      </c>
      <c r="I55" t="n">
        <v>396.14</v>
      </c>
      <c r="J55" t="inlineStr">
        <is>
          <t>Capitol prezent în topul verificat al municipiului; lista nu este exhaustivă.</t>
        </is>
      </c>
    </row>
    <row r="56">
      <c r="A56" t="n">
        <v>2026</v>
      </c>
      <c r="B56" t="inlineStr">
        <is>
          <t>42682</t>
        </is>
      </c>
      <c r="C56" t="inlineStr">
        <is>
          <t>Brăila</t>
        </is>
      </c>
      <c r="D56" t="inlineStr">
        <is>
          <t>Brăila</t>
        </is>
      </c>
      <c r="E56" t="inlineStr">
        <is>
          <t>66.02</t>
        </is>
      </c>
      <c r="F56" t="inlineStr">
        <is>
          <t>Sanatate</t>
        </is>
      </c>
      <c r="G56" t="n">
        <v>12410</v>
      </c>
      <c r="H56" t="n">
        <v>2.25</v>
      </c>
      <c r="I56" t="n">
        <v>80.23</v>
      </c>
      <c r="J56" t="inlineStr">
        <is>
          <t>Capitol prezent în topul verificat al municipiului; lista nu este exhaustivă.</t>
        </is>
      </c>
    </row>
    <row r="57">
      <c r="A57" t="n">
        <v>2026</v>
      </c>
      <c r="B57" t="inlineStr">
        <is>
          <t>42682</t>
        </is>
      </c>
      <c r="C57" t="inlineStr">
        <is>
          <t>Brăila</t>
        </is>
      </c>
      <c r="D57" t="inlineStr">
        <is>
          <t>Brăila</t>
        </is>
      </c>
      <c r="E57" t="inlineStr">
        <is>
          <t>80.02</t>
        </is>
      </c>
      <c r="F57" t="inlineStr">
        <is>
          <t>Actiuni generale economice, comerciale si de munca</t>
        </is>
      </c>
      <c r="G57" t="n">
        <v>800</v>
      </c>
      <c r="H57" t="n">
        <v>0.15</v>
      </c>
      <c r="I57" t="n">
        <v>5.17</v>
      </c>
      <c r="J57" t="inlineStr">
        <is>
          <t>Capitol prezent în topul verificat al municipiului; lista nu este exhaustivă.</t>
        </is>
      </c>
    </row>
    <row r="58">
      <c r="A58" t="n">
        <v>2026</v>
      </c>
      <c r="B58" t="inlineStr">
        <is>
          <t>42682</t>
        </is>
      </c>
      <c r="C58" t="inlineStr">
        <is>
          <t>Brăila</t>
        </is>
      </c>
      <c r="D58" t="inlineStr">
        <is>
          <t>Brăila</t>
        </is>
      </c>
      <c r="E58" t="inlineStr">
        <is>
          <t>55.02</t>
        </is>
      </c>
      <c r="F58" t="inlineStr">
        <is>
          <t>Tranzactii privind datoria publica si imprumutur</t>
        </is>
      </c>
      <c r="G58" t="n">
        <v>250</v>
      </c>
      <c r="H58" t="n">
        <v>0.05</v>
      </c>
      <c r="I58" t="n">
        <v>1.62</v>
      </c>
      <c r="J58" t="inlineStr">
        <is>
          <t>Capitol prezent în topul verificat al municipiului; lista nu este exhaustivă.</t>
        </is>
      </c>
    </row>
    <row r="59">
      <c r="A59" t="n">
        <v>2026</v>
      </c>
      <c r="B59" t="inlineStr">
        <is>
          <t>65342</t>
        </is>
      </c>
      <c r="C59" t="inlineStr">
        <is>
          <t>Târgoviște</t>
        </is>
      </c>
      <c r="D59" t="inlineStr">
        <is>
          <t>Dâmbovița</t>
        </is>
      </c>
      <c r="E59" t="inlineStr">
        <is>
          <t>65.02</t>
        </is>
      </c>
      <c r="F59" t="inlineStr">
        <is>
          <t>Invatamant</t>
        </is>
      </c>
      <c r="G59" t="n">
        <v>151736</v>
      </c>
      <c r="H59" t="n">
        <v>21.8</v>
      </c>
      <c r="I59" t="n">
        <v>2265.9</v>
      </c>
      <c r="J59" t="inlineStr">
        <is>
          <t>Capitol prezent în topul verificat al municipiului; lista nu este exhaustivă.</t>
        </is>
      </c>
    </row>
    <row r="60">
      <c r="A60" t="n">
        <v>2026</v>
      </c>
      <c r="B60" t="inlineStr">
        <is>
          <t>65342</t>
        </is>
      </c>
      <c r="C60" t="inlineStr">
        <is>
          <t>Târgoviște</t>
        </is>
      </c>
      <c r="D60" t="inlineStr">
        <is>
          <t>Dâmbovița</t>
        </is>
      </c>
      <c r="E60" t="inlineStr">
        <is>
          <t>84.02</t>
        </is>
      </c>
      <c r="F60" t="inlineStr">
        <is>
          <t>Transporturi</t>
        </is>
      </c>
      <c r="G60" t="n">
        <v>143781</v>
      </c>
      <c r="H60" t="n">
        <v>20.65</v>
      </c>
      <c r="I60" t="n">
        <v>2147.11</v>
      </c>
      <c r="J60" t="inlineStr">
        <is>
          <t>Capitol prezent în topul verificat al municipiului; lista nu este exhaustivă.</t>
        </is>
      </c>
    </row>
    <row r="61">
      <c r="A61" t="n">
        <v>2026</v>
      </c>
      <c r="B61" t="inlineStr">
        <is>
          <t>65342</t>
        </is>
      </c>
      <c r="C61" t="inlineStr">
        <is>
          <t>Târgoviște</t>
        </is>
      </c>
      <c r="D61" t="inlineStr">
        <is>
          <t>Dâmbovița</t>
        </is>
      </c>
      <c r="E61" t="inlineStr">
        <is>
          <t>70.02</t>
        </is>
      </c>
      <c r="F61" t="inlineStr">
        <is>
          <t>Locuinte, servicii si dezvoltare publica</t>
        </is>
      </c>
      <c r="G61" t="n">
        <v>131356</v>
      </c>
      <c r="H61" t="n">
        <v>18.87</v>
      </c>
      <c r="I61" t="n">
        <v>1961.56</v>
      </c>
      <c r="J61" t="inlineStr">
        <is>
          <t>Capitol prezent în topul verificat al municipiului; lista nu este exhaustivă.</t>
        </is>
      </c>
    </row>
    <row r="62">
      <c r="A62" t="n">
        <v>2026</v>
      </c>
      <c r="B62" t="inlineStr">
        <is>
          <t>65342</t>
        </is>
      </c>
      <c r="C62" t="inlineStr">
        <is>
          <t>Târgoviște</t>
        </is>
      </c>
      <c r="D62" t="inlineStr">
        <is>
          <t>Dâmbovița</t>
        </is>
      </c>
      <c r="E62" t="inlineStr">
        <is>
          <t>68.02</t>
        </is>
      </c>
      <c r="F62" t="inlineStr">
        <is>
          <t>Asigurari si asistenta sociala</t>
        </is>
      </c>
      <c r="G62" t="n">
        <v>88212</v>
      </c>
      <c r="H62" t="n">
        <v>12.67</v>
      </c>
      <c r="I62" t="n">
        <v>1317.29</v>
      </c>
      <c r="J62" t="inlineStr">
        <is>
          <t>Capitol prezent în topul verificat al municipiului; lista nu este exhaustivă.</t>
        </is>
      </c>
    </row>
    <row r="63">
      <c r="A63" t="n">
        <v>2026</v>
      </c>
      <c r="B63" t="inlineStr">
        <is>
          <t>65342</t>
        </is>
      </c>
      <c r="C63" t="inlineStr">
        <is>
          <t>Târgoviște</t>
        </is>
      </c>
      <c r="D63" t="inlineStr">
        <is>
          <t>Dâmbovița</t>
        </is>
      </c>
      <c r="E63" t="inlineStr">
        <is>
          <t>74.02</t>
        </is>
      </c>
      <c r="F63" t="inlineStr">
        <is>
          <t>Protectia mediului</t>
        </is>
      </c>
      <c r="G63" t="n">
        <v>69292</v>
      </c>
      <c r="H63" t="n">
        <v>9.949999999999999</v>
      </c>
      <c r="I63" t="n">
        <v>1034.75</v>
      </c>
      <c r="J63" t="inlineStr">
        <is>
          <t>Capitol prezent în topul verificat al municipiului; lista nu este exhaustivă.</t>
        </is>
      </c>
    </row>
    <row r="64">
      <c r="A64" t="n">
        <v>2026</v>
      </c>
      <c r="B64" t="inlineStr">
        <is>
          <t>65342</t>
        </is>
      </c>
      <c r="C64" t="inlineStr">
        <is>
          <t>Târgoviște</t>
        </is>
      </c>
      <c r="D64" t="inlineStr">
        <is>
          <t>Dâmbovița</t>
        </is>
      </c>
      <c r="E64" t="inlineStr">
        <is>
          <t>67.02</t>
        </is>
      </c>
      <c r="F64" t="inlineStr">
        <is>
          <t>Cultura, recreere si religie</t>
        </is>
      </c>
      <c r="G64" t="n">
        <v>30553</v>
      </c>
      <c r="H64" t="n">
        <v>4.39</v>
      </c>
      <c r="I64" t="n">
        <v>456.25</v>
      </c>
      <c r="J64" t="inlineStr">
        <is>
          <t>Capitol prezent în topul verificat al municipiului; lista nu este exhaustivă.</t>
        </is>
      </c>
    </row>
    <row r="65">
      <c r="A65" t="n">
        <v>2026</v>
      </c>
      <c r="B65" t="inlineStr">
        <is>
          <t>65342</t>
        </is>
      </c>
      <c r="C65" t="inlineStr">
        <is>
          <t>Târgoviște</t>
        </is>
      </c>
      <c r="D65" t="inlineStr">
        <is>
          <t>Dâmbovița</t>
        </is>
      </c>
      <c r="E65" t="inlineStr">
        <is>
          <t>51.02</t>
        </is>
      </c>
      <c r="F65" t="inlineStr">
        <is>
          <t>Autoritati publice si actiuni externe</t>
        </is>
      </c>
      <c r="G65" t="n">
        <v>26516</v>
      </c>
      <c r="H65" t="n">
        <v>3.81</v>
      </c>
      <c r="I65" t="n">
        <v>395.97</v>
      </c>
      <c r="J65" t="inlineStr">
        <is>
          <t>Capitol prezent în topul verificat al municipiului; lista nu este exhaustivă.</t>
        </is>
      </c>
    </row>
    <row r="66">
      <c r="A66" t="n">
        <v>2026</v>
      </c>
      <c r="B66" t="inlineStr">
        <is>
          <t>65342</t>
        </is>
      </c>
      <c r="C66" t="inlineStr">
        <is>
          <t>Târgoviște</t>
        </is>
      </c>
      <c r="D66" t="inlineStr">
        <is>
          <t>Dâmbovița</t>
        </is>
      </c>
      <c r="E66" t="inlineStr">
        <is>
          <t>54.02</t>
        </is>
      </c>
      <c r="F66" t="inlineStr">
        <is>
          <t>Alte servicii publice generale</t>
        </is>
      </c>
      <c r="G66" t="n">
        <v>19175</v>
      </c>
      <c r="H66" t="n">
        <v>2.75</v>
      </c>
      <c r="I66" t="n">
        <v>286.34</v>
      </c>
      <c r="J66" t="inlineStr">
        <is>
          <t>Capitol prezent în topul verificat al municipiului; lista nu este exhaustivă.</t>
        </is>
      </c>
    </row>
    <row r="67">
      <c r="A67" t="n">
        <v>2026</v>
      </c>
      <c r="B67" t="inlineStr">
        <is>
          <t>65342</t>
        </is>
      </c>
      <c r="C67" t="inlineStr">
        <is>
          <t>Târgoviște</t>
        </is>
      </c>
      <c r="D67" t="inlineStr">
        <is>
          <t>Dâmbovița</t>
        </is>
      </c>
      <c r="E67" t="inlineStr">
        <is>
          <t>61.02</t>
        </is>
      </c>
      <c r="F67" t="inlineStr">
        <is>
          <t>Ordine publica si siguranta nationala</t>
        </is>
      </c>
      <c r="G67" t="n">
        <v>14842</v>
      </c>
      <c r="H67" t="n">
        <v>2.13</v>
      </c>
      <c r="I67" t="n">
        <v>221.64</v>
      </c>
      <c r="J67" t="inlineStr">
        <is>
          <t>Capitol prezent în topul verificat al municipiului; lista nu este exhaustivă.</t>
        </is>
      </c>
    </row>
    <row r="68">
      <c r="A68" t="n">
        <v>2026</v>
      </c>
      <c r="B68" t="inlineStr">
        <is>
          <t>65342</t>
        </is>
      </c>
      <c r="C68" t="inlineStr">
        <is>
          <t>Târgoviște</t>
        </is>
      </c>
      <c r="D68" t="inlineStr">
        <is>
          <t>Dâmbovița</t>
        </is>
      </c>
      <c r="E68" t="inlineStr">
        <is>
          <t>66.02</t>
        </is>
      </c>
      <c r="F68" t="inlineStr">
        <is>
          <t>Sanatate</t>
        </is>
      </c>
      <c r="G68" t="n">
        <v>11602</v>
      </c>
      <c r="H68" t="n">
        <v>1.67</v>
      </c>
      <c r="I68" t="n">
        <v>173.25</v>
      </c>
      <c r="J68" t="inlineStr">
        <is>
          <t>Capitol prezent în topul verificat al municipiului; lista nu este exhaustivă.</t>
        </is>
      </c>
    </row>
    <row r="69">
      <c r="A69" t="n">
        <v>2026</v>
      </c>
      <c r="B69" t="inlineStr">
        <is>
          <t>86687</t>
        </is>
      </c>
      <c r="C69" t="inlineStr">
        <is>
          <t>Deva</t>
        </is>
      </c>
      <c r="D69" t="inlineStr">
        <is>
          <t>Hunedoara</t>
        </is>
      </c>
      <c r="E69" t="inlineStr">
        <is>
          <t>70.02</t>
        </is>
      </c>
      <c r="F69" t="inlineStr">
        <is>
          <t>Locuinte, servicii si dezvoltare publica</t>
        </is>
      </c>
      <c r="G69" t="n">
        <v>133965.72</v>
      </c>
      <c r="H69" t="n">
        <v>29.26</v>
      </c>
      <c r="I69" t="n">
        <v>2522.28</v>
      </c>
      <c r="J69" t="inlineStr">
        <is>
          <t>Capitol prezent în topul verificat al municipiului; lista nu este exhaustivă.</t>
        </is>
      </c>
    </row>
    <row r="70">
      <c r="A70" t="n">
        <v>2026</v>
      </c>
      <c r="B70" t="inlineStr">
        <is>
          <t>86687</t>
        </is>
      </c>
      <c r="C70" t="inlineStr">
        <is>
          <t>Deva</t>
        </is>
      </c>
      <c r="D70" t="inlineStr">
        <is>
          <t>Hunedoara</t>
        </is>
      </c>
      <c r="E70" t="inlineStr">
        <is>
          <t>65.02</t>
        </is>
      </c>
      <c r="F70" t="inlineStr">
        <is>
          <t>Invatamant</t>
        </is>
      </c>
      <c r="G70" t="n">
        <v>67029.89999999999</v>
      </c>
      <c r="H70" t="n">
        <v>14.64</v>
      </c>
      <c r="I70" t="n">
        <v>1262.02</v>
      </c>
      <c r="J70" t="inlineStr">
        <is>
          <t>Capitol prezent în topul verificat al municipiului; lista nu este exhaustivă.</t>
        </is>
      </c>
    </row>
    <row r="71">
      <c r="A71" t="n">
        <v>2026</v>
      </c>
      <c r="B71" t="inlineStr">
        <is>
          <t>86687</t>
        </is>
      </c>
      <c r="C71" t="inlineStr">
        <is>
          <t>Deva</t>
        </is>
      </c>
      <c r="D71" t="inlineStr">
        <is>
          <t>Hunedoara</t>
        </is>
      </c>
      <c r="E71" t="inlineStr">
        <is>
          <t>68.02</t>
        </is>
      </c>
      <c r="F71" t="inlineStr">
        <is>
          <t>Asigurari si asistenta sociala</t>
        </is>
      </c>
      <c r="G71" t="n">
        <v>54683.5</v>
      </c>
      <c r="H71" t="n">
        <v>11.94</v>
      </c>
      <c r="I71" t="n">
        <v>1029.57</v>
      </c>
      <c r="J71" t="inlineStr">
        <is>
          <t>Capitol prezent în topul verificat al municipiului; lista nu este exhaustivă.</t>
        </is>
      </c>
    </row>
    <row r="72">
      <c r="A72" t="n">
        <v>2026</v>
      </c>
      <c r="B72" t="inlineStr">
        <is>
          <t>86687</t>
        </is>
      </c>
      <c r="C72" t="inlineStr">
        <is>
          <t>Deva</t>
        </is>
      </c>
      <c r="D72" t="inlineStr">
        <is>
          <t>Hunedoara</t>
        </is>
      </c>
      <c r="E72" t="inlineStr">
        <is>
          <t>84.02</t>
        </is>
      </c>
      <c r="F72" t="inlineStr">
        <is>
          <t>Transporturi</t>
        </is>
      </c>
      <c r="G72" t="n">
        <v>52021.84</v>
      </c>
      <c r="H72" t="n">
        <v>11.36</v>
      </c>
      <c r="I72" t="n">
        <v>979.46</v>
      </c>
      <c r="J72" t="inlineStr">
        <is>
          <t>Capitol prezent în topul verificat al municipiului; lista nu este exhaustivă.</t>
        </is>
      </c>
    </row>
    <row r="73">
      <c r="A73" t="n">
        <v>2026</v>
      </c>
      <c r="B73" t="inlineStr">
        <is>
          <t>86687</t>
        </is>
      </c>
      <c r="C73" t="inlineStr">
        <is>
          <t>Deva</t>
        </is>
      </c>
      <c r="D73" t="inlineStr">
        <is>
          <t>Hunedoara</t>
        </is>
      </c>
      <c r="E73" t="inlineStr">
        <is>
          <t>74.02</t>
        </is>
      </c>
      <c r="F73" t="inlineStr">
        <is>
          <t>Protectia mediului</t>
        </is>
      </c>
      <c r="G73" t="n">
        <v>49377.17</v>
      </c>
      <c r="H73" t="n">
        <v>10.78</v>
      </c>
      <c r="I73" t="n">
        <v>929.66</v>
      </c>
      <c r="J73" t="inlineStr">
        <is>
          <t>Capitol prezent în topul verificat al municipiului; lista nu este exhaustivă.</t>
        </is>
      </c>
    </row>
    <row r="74">
      <c r="A74" t="n">
        <v>2026</v>
      </c>
      <c r="B74" t="inlineStr">
        <is>
          <t>86687</t>
        </is>
      </c>
      <c r="C74" t="inlineStr">
        <is>
          <t>Deva</t>
        </is>
      </c>
      <c r="D74" t="inlineStr">
        <is>
          <t>Hunedoara</t>
        </is>
      </c>
      <c r="E74" t="inlineStr">
        <is>
          <t>67.02</t>
        </is>
      </c>
      <c r="F74" t="inlineStr">
        <is>
          <t>Cultura, recreere si religie</t>
        </is>
      </c>
      <c r="G74" t="n">
        <v>46533.2</v>
      </c>
      <c r="H74" t="n">
        <v>10.16</v>
      </c>
      <c r="I74" t="n">
        <v>876.12</v>
      </c>
      <c r="J74" t="inlineStr">
        <is>
          <t>Capitol prezent în topul verificat al municipiului; lista nu este exhaustivă.</t>
        </is>
      </c>
    </row>
    <row r="75">
      <c r="A75" t="n">
        <v>2026</v>
      </c>
      <c r="B75" t="inlineStr">
        <is>
          <t>86687</t>
        </is>
      </c>
      <c r="C75" t="inlineStr">
        <is>
          <t>Deva</t>
        </is>
      </c>
      <c r="D75" t="inlineStr">
        <is>
          <t>Hunedoara</t>
        </is>
      </c>
      <c r="E75" t="inlineStr">
        <is>
          <t>51.02</t>
        </is>
      </c>
      <c r="F75" t="inlineStr">
        <is>
          <t>Autoritati publice si actiuni externe</t>
        </is>
      </c>
      <c r="G75" t="n">
        <v>31980.1</v>
      </c>
      <c r="H75" t="n">
        <v>6.98</v>
      </c>
      <c r="I75" t="n">
        <v>602.11</v>
      </c>
      <c r="J75" t="inlineStr">
        <is>
          <t>Capitol prezent în topul verificat al municipiului; lista nu este exhaustivă.</t>
        </is>
      </c>
    </row>
    <row r="76">
      <c r="A76" t="n">
        <v>2026</v>
      </c>
      <c r="B76" t="inlineStr">
        <is>
          <t>86687</t>
        </is>
      </c>
      <c r="C76" t="inlineStr">
        <is>
          <t>Deva</t>
        </is>
      </c>
      <c r="D76" t="inlineStr">
        <is>
          <t>Hunedoara</t>
        </is>
      </c>
      <c r="E76" t="inlineStr">
        <is>
          <t>61.02</t>
        </is>
      </c>
      <c r="F76" t="inlineStr">
        <is>
          <t>Ordine publica si siguranta nationala</t>
        </is>
      </c>
      <c r="G76" t="n">
        <v>10813.63</v>
      </c>
      <c r="H76" t="n">
        <v>2.36</v>
      </c>
      <c r="I76" t="n">
        <v>203.6</v>
      </c>
      <c r="J76" t="inlineStr">
        <is>
          <t>Capitol prezent în topul verificat al municipiului; lista nu este exhaustivă.</t>
        </is>
      </c>
    </row>
    <row r="77">
      <c r="A77" t="n">
        <v>2026</v>
      </c>
      <c r="B77" t="inlineStr">
        <is>
          <t>86687</t>
        </is>
      </c>
      <c r="C77" t="inlineStr">
        <is>
          <t>Deva</t>
        </is>
      </c>
      <c r="D77" t="inlineStr">
        <is>
          <t>Hunedoara</t>
        </is>
      </c>
      <c r="E77" t="inlineStr">
        <is>
          <t>66.02</t>
        </is>
      </c>
      <c r="F77" t="inlineStr">
        <is>
          <t>Sanatate</t>
        </is>
      </c>
      <c r="G77" t="n">
        <v>5027</v>
      </c>
      <c r="H77" t="n">
        <v>1.1</v>
      </c>
      <c r="I77" t="n">
        <v>94.65000000000001</v>
      </c>
      <c r="J77" t="inlineStr">
        <is>
          <t>Capitol prezent în topul verificat al municipiului; lista nu este exhaustivă.</t>
        </is>
      </c>
    </row>
    <row r="78">
      <c r="A78" t="n">
        <v>2026</v>
      </c>
      <c r="B78" t="inlineStr">
        <is>
          <t>86687</t>
        </is>
      </c>
      <c r="C78" t="inlineStr">
        <is>
          <t>Deva</t>
        </is>
      </c>
      <c r="D78" t="inlineStr">
        <is>
          <t>Hunedoara</t>
        </is>
      </c>
      <c r="E78" t="inlineStr">
        <is>
          <t>55.02</t>
        </is>
      </c>
      <c r="F78" t="inlineStr">
        <is>
          <t>Tranzactii privind datoria publica si imprumuturi</t>
        </is>
      </c>
      <c r="G78" t="n">
        <v>4534.3</v>
      </c>
      <c r="H78" t="n">
        <v>0.99</v>
      </c>
      <c r="I78" t="n">
        <v>85.37</v>
      </c>
      <c r="J78" t="inlineStr">
        <is>
          <t>Capitol prezent în topul verificat al municipiului; lista nu este exhaustivă.</t>
        </is>
      </c>
    </row>
    <row r="79">
      <c r="A79" t="n">
        <v>2026</v>
      </c>
      <c r="B79" t="inlineStr">
        <is>
          <t>161945</t>
        </is>
      </c>
      <c r="C79" t="inlineStr">
        <is>
          <t>Vaslui</t>
        </is>
      </c>
      <c r="D79" t="inlineStr">
        <is>
          <t>Vaslui</t>
        </is>
      </c>
      <c r="E79" t="inlineStr">
        <is>
          <t>70.02</t>
        </is>
      </c>
      <c r="F79" t="inlineStr">
        <is>
          <t>Locuințe, servicii și dezvoltare publică - din care titlurile:</t>
        </is>
      </c>
      <c r="G79" t="n">
        <v>99887347</v>
      </c>
      <c r="H79" t="n">
        <v>22565.49</v>
      </c>
      <c r="I79" t="n">
        <v>1584633.09</v>
      </c>
      <c r="J79" t="inlineStr">
        <is>
          <t>Capitol prezent în topul verificat al municipiului; lista nu este exhaustivă.</t>
        </is>
      </c>
    </row>
    <row r="80">
      <c r="A80" t="n">
        <v>2026</v>
      </c>
      <c r="B80" t="inlineStr">
        <is>
          <t>161945</t>
        </is>
      </c>
      <c r="C80" t="inlineStr">
        <is>
          <t>Vaslui</t>
        </is>
      </c>
      <c r="D80" t="inlineStr">
        <is>
          <t>Vaslui</t>
        </is>
      </c>
      <c r="E80" t="inlineStr">
        <is>
          <t>84.02</t>
        </is>
      </c>
      <c r="F80" t="inlineStr">
        <is>
          <t>Transporturi - din care titlurile:</t>
        </is>
      </c>
      <c r="G80" t="n">
        <v>96503000</v>
      </c>
      <c r="H80" t="n">
        <v>21800.93</v>
      </c>
      <c r="I80" t="n">
        <v>1530943.13</v>
      </c>
      <c r="J80" t="inlineStr">
        <is>
          <t>Capitol prezent în topul verificat al municipiului; lista nu este exhaustivă.</t>
        </is>
      </c>
    </row>
    <row r="81">
      <c r="A81" t="n">
        <v>2026</v>
      </c>
      <c r="B81" t="inlineStr">
        <is>
          <t>161945</t>
        </is>
      </c>
      <c r="C81" t="inlineStr">
        <is>
          <t>Vaslui</t>
        </is>
      </c>
      <c r="D81" t="inlineStr">
        <is>
          <t>Vaslui</t>
        </is>
      </c>
      <c r="E81" t="inlineStr">
        <is>
          <t>65.02</t>
        </is>
      </c>
      <c r="F81" t="inlineStr">
        <is>
          <t>Învățământ - din care titlurile:</t>
        </is>
      </c>
      <c r="G81" t="n">
        <v>56158000</v>
      </c>
      <c r="H81" t="n">
        <v>12686.62</v>
      </c>
      <c r="I81" t="n">
        <v>890901.88</v>
      </c>
      <c r="J81" t="inlineStr">
        <is>
          <t>Capitol prezent în topul verificat al municipiului; lista nu este exhaustivă.</t>
        </is>
      </c>
    </row>
    <row r="82">
      <c r="A82" t="n">
        <v>2026</v>
      </c>
      <c r="B82" t="inlineStr">
        <is>
          <t>161945</t>
        </is>
      </c>
      <c r="C82" t="inlineStr">
        <is>
          <t>Vaslui</t>
        </is>
      </c>
      <c r="D82" t="inlineStr">
        <is>
          <t>Vaslui</t>
        </is>
      </c>
      <c r="E82" t="inlineStr">
        <is>
          <t>67.02</t>
        </is>
      </c>
      <c r="F82" t="inlineStr">
        <is>
          <t>Cultură, recreere și religie - din care titlurile:</t>
        </is>
      </c>
      <c r="G82" t="n">
        <v>54640000</v>
      </c>
      <c r="H82" t="n">
        <v>12343.69</v>
      </c>
      <c r="I82" t="n">
        <v>866820.02</v>
      </c>
      <c r="J82" t="inlineStr">
        <is>
          <t>Capitol prezent în topul verificat al municipiului; lista nu este exhaustivă.</t>
        </is>
      </c>
    </row>
    <row r="83">
      <c r="A83" t="n">
        <v>2026</v>
      </c>
      <c r="B83" t="inlineStr">
        <is>
          <t>161945</t>
        </is>
      </c>
      <c r="C83" t="inlineStr">
        <is>
          <t>Vaslui</t>
        </is>
      </c>
      <c r="D83" t="inlineStr">
        <is>
          <t>Vaslui</t>
        </is>
      </c>
      <c r="E83" t="inlineStr">
        <is>
          <t>68.02</t>
        </is>
      </c>
      <c r="F83" t="inlineStr">
        <is>
          <t>Asigurări și asistență socială - din care titlurile:</t>
        </is>
      </c>
      <c r="G83" t="n">
        <v>50465000</v>
      </c>
      <c r="H83" t="n">
        <v>11400.52</v>
      </c>
      <c r="I83" t="n">
        <v>800586.98</v>
      </c>
      <c r="J83" t="inlineStr">
        <is>
          <t>Capitol prezent în topul verificat al municipiului; lista nu este exhaustivă.</t>
        </is>
      </c>
    </row>
    <row r="84">
      <c r="A84" t="n">
        <v>2026</v>
      </c>
      <c r="B84" t="inlineStr">
        <is>
          <t>161945</t>
        </is>
      </c>
      <c r="C84" t="inlineStr">
        <is>
          <t>Vaslui</t>
        </is>
      </c>
      <c r="D84" t="inlineStr">
        <is>
          <t>Vaslui</t>
        </is>
      </c>
      <c r="E84" t="inlineStr">
        <is>
          <t>00.01</t>
        </is>
      </c>
      <c r="F84" t="inlineStr">
        <is>
          <t>VENITURILE SECTIUNII DE FUNCTIONARE</t>
        </is>
      </c>
      <c r="G84" t="n">
        <v>34128000</v>
      </c>
      <c r="H84" t="n">
        <v>7709.84</v>
      </c>
      <c r="I84" t="n">
        <v>541413.5</v>
      </c>
      <c r="J84" t="inlineStr">
        <is>
          <t>Capitol prezent în topul verificat al municipiului; lista nu este exhaustivă.</t>
        </is>
      </c>
    </row>
    <row r="85">
      <c r="A85" t="n">
        <v>2026</v>
      </c>
      <c r="B85" t="inlineStr">
        <is>
          <t>161945</t>
        </is>
      </c>
      <c r="C85" t="inlineStr">
        <is>
          <t>Vaslui</t>
        </is>
      </c>
      <c r="D85" t="inlineStr">
        <is>
          <t>Vaslui</t>
        </is>
      </c>
      <c r="E85" t="inlineStr">
        <is>
          <t>51.02</t>
        </is>
      </c>
      <c r="F85" t="inlineStr">
        <is>
          <t>Autorități publice și acțiuni externe - din care titlurile:</t>
        </is>
      </c>
      <c r="G85" t="n">
        <v>33209000</v>
      </c>
      <c r="H85" t="n">
        <v>7502.22</v>
      </c>
      <c r="I85" t="n">
        <v>526834.3</v>
      </c>
      <c r="J85" t="inlineStr">
        <is>
          <t>Capitol prezent în topul verificat al municipiului; lista nu este exhaustivă.</t>
        </is>
      </c>
    </row>
    <row r="86">
      <c r="A86" t="n">
        <v>2026</v>
      </c>
      <c r="B86" t="inlineStr">
        <is>
          <t>161945</t>
        </is>
      </c>
      <c r="C86" t="inlineStr">
        <is>
          <t>Vaslui</t>
        </is>
      </c>
      <c r="D86" t="inlineStr">
        <is>
          <t>Vaslui</t>
        </is>
      </c>
      <c r="E86" t="inlineStr">
        <is>
          <t>74.02</t>
        </is>
      </c>
      <c r="F86" t="inlineStr">
        <is>
          <t>Protecția mediului - din care titlurile:</t>
        </is>
      </c>
      <c r="G86" t="n">
        <v>29271000</v>
      </c>
      <c r="H86" t="n">
        <v>6612.59</v>
      </c>
      <c r="I86" t="n">
        <v>464361.07</v>
      </c>
      <c r="J86" t="inlineStr">
        <is>
          <t>Capitol prezent în topul verificat al municipiului; lista nu este exhaustivă.</t>
        </is>
      </c>
    </row>
    <row r="87">
      <c r="A87" t="n">
        <v>2026</v>
      </c>
      <c r="B87" t="inlineStr">
        <is>
          <t>161945</t>
        </is>
      </c>
      <c r="C87" t="inlineStr">
        <is>
          <t>Vaslui</t>
        </is>
      </c>
      <c r="D87" t="inlineStr">
        <is>
          <t>Vaslui</t>
        </is>
      </c>
      <c r="E87" t="inlineStr">
        <is>
          <t>00.17</t>
        </is>
      </c>
      <c r="F87" t="inlineStr">
        <is>
          <t>IV. SUBVENTII</t>
        </is>
      </c>
      <c r="G87" t="n">
        <v>24229000</v>
      </c>
      <c r="H87" t="n">
        <v>5473.56</v>
      </c>
      <c r="I87" t="n">
        <v>384373.76</v>
      </c>
      <c r="J87" t="inlineStr">
        <is>
          <t>Capitol prezent în topul verificat al municipiului; lista nu este exhaustivă.</t>
        </is>
      </c>
    </row>
    <row r="88">
      <c r="A88" t="n">
        <v>2026</v>
      </c>
      <c r="B88" t="inlineStr">
        <is>
          <t>161945</t>
        </is>
      </c>
      <c r="C88" t="inlineStr">
        <is>
          <t>Vaslui</t>
        </is>
      </c>
      <c r="D88" t="inlineStr">
        <is>
          <t>Vaslui</t>
        </is>
      </c>
      <c r="E88" t="inlineStr">
        <is>
          <t>00.18</t>
        </is>
      </c>
      <c r="F88" t="inlineStr">
        <is>
          <t>SUBVENTII DE LA ALTE NIVELE ALE ADMINISTRATIEI PUBLICE</t>
        </is>
      </c>
      <c r="G88" t="n">
        <v>24229000</v>
      </c>
      <c r="H88" t="n">
        <v>5473.56</v>
      </c>
      <c r="I88" t="n">
        <v>384373.76</v>
      </c>
      <c r="J88" t="inlineStr">
        <is>
          <t>Capitol prezent în topul verificat al municipiului; lista nu este exhaustivă.</t>
        </is>
      </c>
    </row>
    <row r="89">
      <c r="A89" t="n">
        <v>2025</v>
      </c>
      <c r="B89" t="inlineStr">
        <is>
          <t>1017</t>
        </is>
      </c>
      <c r="C89" t="inlineStr">
        <is>
          <t>Alba Iulia</t>
        </is>
      </c>
      <c r="D89" t="inlineStr">
        <is>
          <t>Alba</t>
        </is>
      </c>
      <c r="E89" t="inlineStr">
        <is>
          <t>70.02</t>
        </is>
      </c>
      <c r="F89" t="inlineStr">
        <is>
          <t>Locuinte, servicii si dezvoltare publica</t>
        </is>
      </c>
      <c r="G89" t="n">
        <v>164997.24</v>
      </c>
      <c r="H89" t="n">
        <v>25.31</v>
      </c>
      <c r="I89" t="n">
        <v>2568.97</v>
      </c>
      <c r="J89" t="inlineStr">
        <is>
          <t>Capitol prezent în topul verificat al municipiului; lista nu este exhaustivă.</t>
        </is>
      </c>
    </row>
    <row r="90">
      <c r="A90" t="n">
        <v>2025</v>
      </c>
      <c r="B90" t="inlineStr">
        <is>
          <t>1017</t>
        </is>
      </c>
      <c r="C90" t="inlineStr">
        <is>
          <t>Alba Iulia</t>
        </is>
      </c>
      <c r="D90" t="inlineStr">
        <is>
          <t>Alba</t>
        </is>
      </c>
      <c r="E90" t="inlineStr">
        <is>
          <t>84.02</t>
        </is>
      </c>
      <c r="F90" t="inlineStr">
        <is>
          <t>Transporturi</t>
        </is>
      </c>
      <c r="G90" t="n">
        <v>147233.28</v>
      </c>
      <c r="H90" t="n">
        <v>22.58</v>
      </c>
      <c r="I90" t="n">
        <v>2292.39</v>
      </c>
      <c r="J90" t="inlineStr">
        <is>
          <t>Capitol prezent în topul verificat al municipiului; lista nu este exhaustivă.</t>
        </is>
      </c>
    </row>
    <row r="91">
      <c r="A91" t="n">
        <v>2025</v>
      </c>
      <c r="B91" t="inlineStr">
        <is>
          <t>1017</t>
        </is>
      </c>
      <c r="C91" t="inlineStr">
        <is>
          <t>Alba Iulia</t>
        </is>
      </c>
      <c r="D91" t="inlineStr">
        <is>
          <t>Alba</t>
        </is>
      </c>
      <c r="E91" t="inlineStr">
        <is>
          <t>65.02</t>
        </is>
      </c>
      <c r="F91" t="inlineStr">
        <is>
          <t>Invatamant</t>
        </is>
      </c>
      <c r="G91" t="n">
        <v>135631.27</v>
      </c>
      <c r="H91" t="n">
        <v>20.8</v>
      </c>
      <c r="I91" t="n">
        <v>2111.75</v>
      </c>
      <c r="J91" t="inlineStr">
        <is>
          <t>Capitol prezent în topul verificat al municipiului; lista nu este exhaustivă.</t>
        </is>
      </c>
    </row>
    <row r="92">
      <c r="A92" t="n">
        <v>2025</v>
      </c>
      <c r="B92" t="inlineStr">
        <is>
          <t>1017</t>
        </is>
      </c>
      <c r="C92" t="inlineStr">
        <is>
          <t>Alba Iulia</t>
        </is>
      </c>
      <c r="D92" t="inlineStr">
        <is>
          <t>Alba</t>
        </is>
      </c>
      <c r="E92" t="inlineStr">
        <is>
          <t>68.02</t>
        </is>
      </c>
      <c r="F92" t="inlineStr">
        <is>
          <t>Asigurari si asistenta sociala</t>
        </is>
      </c>
      <c r="G92" t="n">
        <v>61745.18</v>
      </c>
      <c r="H92" t="n">
        <v>9.470000000000001</v>
      </c>
      <c r="I92" t="n">
        <v>961.36</v>
      </c>
      <c r="J92" t="inlineStr">
        <is>
          <t>Capitol prezent în topul verificat al municipiului; lista nu este exhaustivă.</t>
        </is>
      </c>
    </row>
    <row r="93">
      <c r="A93" t="n">
        <v>2025</v>
      </c>
      <c r="B93" t="inlineStr">
        <is>
          <t>1017</t>
        </is>
      </c>
      <c r="C93" t="inlineStr">
        <is>
          <t>Alba Iulia</t>
        </is>
      </c>
      <c r="D93" t="inlineStr">
        <is>
          <t>Alba</t>
        </is>
      </c>
      <c r="E93" t="inlineStr">
        <is>
          <t>67.02</t>
        </is>
      </c>
      <c r="F93" t="inlineStr">
        <is>
          <t>Cultura, recreere si religie</t>
        </is>
      </c>
      <c r="G93" t="n">
        <v>44823.59</v>
      </c>
      <c r="H93" t="n">
        <v>6.88</v>
      </c>
      <c r="I93" t="n">
        <v>697.89</v>
      </c>
      <c r="J93" t="inlineStr">
        <is>
          <t>Capitol prezent în topul verificat al municipiului; lista nu este exhaustivă.</t>
        </is>
      </c>
    </row>
    <row r="94">
      <c r="A94" t="n">
        <v>2025</v>
      </c>
      <c r="B94" t="inlineStr">
        <is>
          <t>1017</t>
        </is>
      </c>
      <c r="C94" t="inlineStr">
        <is>
          <t>Alba Iulia</t>
        </is>
      </c>
      <c r="D94" t="inlineStr">
        <is>
          <t>Alba</t>
        </is>
      </c>
      <c r="E94" t="inlineStr">
        <is>
          <t>51.02</t>
        </is>
      </c>
      <c r="F94" t="inlineStr">
        <is>
          <t>Autoritati publice si actiuni externe</t>
        </is>
      </c>
      <c r="G94" t="n">
        <v>26740.92</v>
      </c>
      <c r="H94" t="n">
        <v>4.1</v>
      </c>
      <c r="I94" t="n">
        <v>416.35</v>
      </c>
      <c r="J94" t="inlineStr">
        <is>
          <t>Capitol prezent în topul verificat al municipiului; lista nu este exhaustivă.</t>
        </is>
      </c>
    </row>
    <row r="95">
      <c r="A95" t="n">
        <v>2025</v>
      </c>
      <c r="B95" t="inlineStr">
        <is>
          <t>1017</t>
        </is>
      </c>
      <c r="C95" t="inlineStr">
        <is>
          <t>Alba Iulia</t>
        </is>
      </c>
      <c r="D95" t="inlineStr">
        <is>
          <t>Alba</t>
        </is>
      </c>
      <c r="E95" t="inlineStr">
        <is>
          <t>74.02</t>
        </is>
      </c>
      <c r="F95" t="inlineStr">
        <is>
          <t>Protectia mediului</t>
        </is>
      </c>
      <c r="G95" t="n">
        <v>26020.97</v>
      </c>
      <c r="H95" t="n">
        <v>3.99</v>
      </c>
      <c r="I95" t="n">
        <v>405.14</v>
      </c>
      <c r="J95" t="inlineStr">
        <is>
          <t>Capitol prezent în topul verificat al municipiului; lista nu este exhaustivă.</t>
        </is>
      </c>
    </row>
    <row r="96">
      <c r="A96" t="n">
        <v>2025</v>
      </c>
      <c r="B96" t="inlineStr">
        <is>
          <t>1017</t>
        </is>
      </c>
      <c r="C96" t="inlineStr">
        <is>
          <t>Alba Iulia</t>
        </is>
      </c>
      <c r="D96" t="inlineStr">
        <is>
          <t>Alba</t>
        </is>
      </c>
      <c r="E96" t="inlineStr">
        <is>
          <t>61.02</t>
        </is>
      </c>
      <c r="F96" t="inlineStr">
        <is>
          <t>Ordine publica si siguranta nationala</t>
        </is>
      </c>
      <c r="G96" t="n">
        <v>16686.28</v>
      </c>
      <c r="H96" t="n">
        <v>2.56</v>
      </c>
      <c r="I96" t="n">
        <v>259.8</v>
      </c>
      <c r="J96" t="inlineStr">
        <is>
          <t>Capitol prezent în topul verificat al municipiului; lista nu este exhaustivă.</t>
        </is>
      </c>
    </row>
    <row r="97">
      <c r="A97" t="n">
        <v>2025</v>
      </c>
      <c r="B97" t="inlineStr">
        <is>
          <t>1017</t>
        </is>
      </c>
      <c r="C97" t="inlineStr">
        <is>
          <t>Alba Iulia</t>
        </is>
      </c>
      <c r="D97" t="inlineStr">
        <is>
          <t>Alba</t>
        </is>
      </c>
      <c r="E97" t="inlineStr">
        <is>
          <t>55.02</t>
        </is>
      </c>
      <c r="F97" t="inlineStr">
        <is>
          <t>Tranzactii privind datoria publica si imprumuturi</t>
        </is>
      </c>
      <c r="G97" t="n">
        <v>11250</v>
      </c>
      <c r="H97" t="n">
        <v>1.73</v>
      </c>
      <c r="I97" t="n">
        <v>175.16</v>
      </c>
      <c r="J97" t="inlineStr">
        <is>
          <t>Capitol prezent în topul verificat al municipiului; lista nu este exhaustivă.</t>
        </is>
      </c>
    </row>
    <row r="98">
      <c r="A98" t="n">
        <v>2025</v>
      </c>
      <c r="B98" t="inlineStr">
        <is>
          <t>1017</t>
        </is>
      </c>
      <c r="C98" t="inlineStr">
        <is>
          <t>Alba Iulia</t>
        </is>
      </c>
      <c r="D98" t="inlineStr">
        <is>
          <t>Alba</t>
        </is>
      </c>
      <c r="E98" t="inlineStr">
        <is>
          <t>66.02</t>
        </is>
      </c>
      <c r="F98" t="inlineStr">
        <is>
          <t>Sanatate</t>
        </is>
      </c>
      <c r="G98" t="n">
        <v>8100</v>
      </c>
      <c r="H98" t="n">
        <v>1.24</v>
      </c>
      <c r="I98" t="n">
        <v>126.12</v>
      </c>
      <c r="J98" t="inlineStr">
        <is>
          <t>Capitol prezent în topul verificat al municipiului; lista nu este exhaustivă.</t>
        </is>
      </c>
    </row>
    <row r="99">
      <c r="A99" t="n">
        <v>2025</v>
      </c>
      <c r="B99" t="inlineStr">
        <is>
          <t>13169</t>
        </is>
      </c>
      <c r="C99" t="inlineStr">
        <is>
          <t>Pitești</t>
        </is>
      </c>
      <c r="D99" t="inlineStr">
        <is>
          <t>Argeș</t>
        </is>
      </c>
      <c r="E99" t="inlineStr">
        <is>
          <t>84.02</t>
        </is>
      </c>
      <c r="F99" t="inlineStr">
        <is>
          <t>TRANSPORTURI</t>
        </is>
      </c>
      <c r="G99" t="n">
        <v>159744</v>
      </c>
      <c r="H99" t="n">
        <v>15.18</v>
      </c>
      <c r="I99" t="n">
        <v>1130.73</v>
      </c>
      <c r="J99" t="inlineStr">
        <is>
          <t>Capitol prezent în topul verificat al municipiului; lista nu este exhaustivă.</t>
        </is>
      </c>
    </row>
    <row r="100">
      <c r="A100" t="n">
        <v>2025</v>
      </c>
      <c r="B100" t="inlineStr">
        <is>
          <t>13169</t>
        </is>
      </c>
      <c r="C100" t="inlineStr">
        <is>
          <t>Pitești</t>
        </is>
      </c>
      <c r="D100" t="inlineStr">
        <is>
          <t>Argeș</t>
        </is>
      </c>
      <c r="E100" t="inlineStr">
        <is>
          <t>68.02</t>
        </is>
      </c>
      <c r="F100" t="inlineStr">
        <is>
          <t>ASIGURÄRI ŞI ASISTENTÃ SOCIALÃ</t>
        </is>
      </c>
      <c r="G100" t="n">
        <v>103918</v>
      </c>
      <c r="H100" t="n">
        <v>9.869999999999999</v>
      </c>
      <c r="I100" t="n">
        <v>735.5700000000001</v>
      </c>
      <c r="J100" t="inlineStr">
        <is>
          <t>Capitol prezent în topul verificat al municipiului; lista nu este exhaustivă.</t>
        </is>
      </c>
    </row>
    <row r="101">
      <c r="A101" t="n">
        <v>2025</v>
      </c>
      <c r="B101" t="inlineStr">
        <is>
          <t>13169</t>
        </is>
      </c>
      <c r="C101" t="inlineStr">
        <is>
          <t>Pitești</t>
        </is>
      </c>
      <c r="D101" t="inlineStr">
        <is>
          <t>Argeș</t>
        </is>
      </c>
      <c r="E101" t="inlineStr">
        <is>
          <t>67.02</t>
        </is>
      </c>
      <c r="F101" t="inlineStr">
        <is>
          <t>CULTURÅ, RECREERE ŞI RELIGIE</t>
        </is>
      </c>
      <c r="G101" t="n">
        <v>98548</v>
      </c>
      <c r="H101" t="n">
        <v>9.359999999999999</v>
      </c>
      <c r="I101" t="n">
        <v>697.5599999999999</v>
      </c>
      <c r="J101" t="inlineStr">
        <is>
          <t>Capitol prezent în topul verificat al municipiului; lista nu este exhaustivă.</t>
        </is>
      </c>
    </row>
    <row r="102">
      <c r="A102" t="n">
        <v>2025</v>
      </c>
      <c r="B102" t="inlineStr">
        <is>
          <t>13169</t>
        </is>
      </c>
      <c r="C102" t="inlineStr">
        <is>
          <t>Pitești</t>
        </is>
      </c>
      <c r="D102" t="inlineStr">
        <is>
          <t>Argeș</t>
        </is>
      </c>
      <c r="E102" t="inlineStr">
        <is>
          <t>65.02</t>
        </is>
      </c>
      <c r="F102" t="inlineStr">
        <is>
          <t>ÎNVÅTÃMÂNT</t>
        </is>
      </c>
      <c r="G102" t="n">
        <v>66679</v>
      </c>
      <c r="H102" t="n">
        <v>6.34</v>
      </c>
      <c r="I102" t="n">
        <v>471.98</v>
      </c>
      <c r="J102" t="inlineStr">
        <is>
          <t>Capitol prezent în topul verificat al municipiului; lista nu este exhaustivă.</t>
        </is>
      </c>
    </row>
    <row r="103">
      <c r="A103" t="n">
        <v>2025</v>
      </c>
      <c r="B103" t="inlineStr">
        <is>
          <t>13169</t>
        </is>
      </c>
      <c r="C103" t="inlineStr">
        <is>
          <t>Pitești</t>
        </is>
      </c>
      <c r="D103" t="inlineStr">
        <is>
          <t>Argeș</t>
        </is>
      </c>
      <c r="E103" t="inlineStr">
        <is>
          <t>70.02</t>
        </is>
      </c>
      <c r="F103" t="inlineStr">
        <is>
          <t>LOCUINTE, SERVICII ŞI DEZVOLTARE PUBLICÃ</t>
        </is>
      </c>
      <c r="G103" t="n">
        <v>57883</v>
      </c>
      <c r="H103" t="n">
        <v>5.5</v>
      </c>
      <c r="I103" t="n">
        <v>409.72</v>
      </c>
      <c r="J103" t="inlineStr">
        <is>
          <t>Capitol prezent în topul verificat al municipiului; lista nu este exhaustivă.</t>
        </is>
      </c>
    </row>
    <row r="104">
      <c r="A104" t="n">
        <v>2025</v>
      </c>
      <c r="B104" t="inlineStr">
        <is>
          <t>13169</t>
        </is>
      </c>
      <c r="C104" t="inlineStr">
        <is>
          <t>Pitești</t>
        </is>
      </c>
      <c r="D104" t="inlineStr">
        <is>
          <t>Argeș</t>
        </is>
      </c>
      <c r="E104" t="inlineStr">
        <is>
          <t>51.02</t>
        </is>
      </c>
      <c r="F104" t="inlineStr">
        <is>
          <t>AUTORITÅTI PUBLICE ŞI ACTIUNI EXTERNE</t>
        </is>
      </c>
      <c r="G104" t="n">
        <v>51840</v>
      </c>
      <c r="H104" t="n">
        <v>4.93</v>
      </c>
      <c r="I104" t="n">
        <v>366.94</v>
      </c>
      <c r="J104" t="inlineStr">
        <is>
          <t>Capitol prezent în topul verificat al municipiului; lista nu este exhaustivă.</t>
        </is>
      </c>
    </row>
    <row r="105">
      <c r="A105" t="n">
        <v>2025</v>
      </c>
      <c r="B105" t="inlineStr">
        <is>
          <t>13169</t>
        </is>
      </c>
      <c r="C105" t="inlineStr">
        <is>
          <t>Pitești</t>
        </is>
      </c>
      <c r="D105" t="inlineStr">
        <is>
          <t>Argeș</t>
        </is>
      </c>
      <c r="E105" t="inlineStr">
        <is>
          <t>61.02</t>
        </is>
      </c>
      <c r="F105" t="inlineStr">
        <is>
          <t>ORDINE PUBLICA ŞI SIGURANTÃ NATIONALÃ</t>
        </is>
      </c>
      <c r="G105" t="n">
        <v>25375</v>
      </c>
      <c r="H105" t="n">
        <v>2.41</v>
      </c>
      <c r="I105" t="n">
        <v>179.61</v>
      </c>
      <c r="J105" t="inlineStr">
        <is>
          <t>Capitol prezent în topul verificat al municipiului; lista nu este exhaustivă.</t>
        </is>
      </c>
    </row>
    <row r="106">
      <c r="A106" t="n">
        <v>2025</v>
      </c>
      <c r="B106" t="inlineStr">
        <is>
          <t>13169</t>
        </is>
      </c>
      <c r="C106" t="inlineStr">
        <is>
          <t>Pitești</t>
        </is>
      </c>
      <c r="D106" t="inlineStr">
        <is>
          <t>Argeș</t>
        </is>
      </c>
      <c r="E106" t="inlineStr">
        <is>
          <t>66.02</t>
        </is>
      </c>
      <c r="F106" t="inlineStr">
        <is>
          <t>SÄNÄTATE</t>
        </is>
      </c>
      <c r="G106" t="n">
        <v>12750</v>
      </c>
      <c r="H106" t="n">
        <v>1.21</v>
      </c>
      <c r="I106" t="n">
        <v>90.25</v>
      </c>
      <c r="J106" t="inlineStr">
        <is>
          <t>Capitol prezent în topul verificat al municipiului; lista nu este exhaustivă.</t>
        </is>
      </c>
    </row>
    <row r="107">
      <c r="A107" t="n">
        <v>2025</v>
      </c>
      <c r="B107" t="inlineStr">
        <is>
          <t>13169</t>
        </is>
      </c>
      <c r="C107" t="inlineStr">
        <is>
          <t>Pitești</t>
        </is>
      </c>
      <c r="D107" t="inlineStr">
        <is>
          <t>Argeș</t>
        </is>
      </c>
      <c r="E107" t="inlineStr">
        <is>
          <t>55.02</t>
        </is>
      </c>
      <c r="F107" t="inlineStr">
        <is>
          <t>TRANZACTII PRIVIND DATORIA PUBLICÅ SI ÎMPRUMUTURI</t>
        </is>
      </c>
      <c r="G107" t="n">
        <v>2000</v>
      </c>
      <c r="H107" t="n">
        <v>0.19</v>
      </c>
      <c r="I107" t="n">
        <v>14.16</v>
      </c>
      <c r="J107" t="inlineStr">
        <is>
          <t>Capitol prezent în topul verificat al municipiului; lista nu este exhaustivă.</t>
        </is>
      </c>
    </row>
    <row r="108">
      <c r="A108" t="n">
        <v>2025</v>
      </c>
      <c r="B108" t="inlineStr">
        <is>
          <t>13169</t>
        </is>
      </c>
      <c r="C108" t="inlineStr">
        <is>
          <t>Pitești</t>
        </is>
      </c>
      <c r="D108" t="inlineStr">
        <is>
          <t>Argeș</t>
        </is>
      </c>
      <c r="E108" t="inlineStr">
        <is>
          <t>81.02</t>
        </is>
      </c>
      <c r="F108" t="inlineStr">
        <is>
          <t>COMBUSTIBILI ŞI ENERGIE</t>
        </is>
      </c>
      <c r="G108" t="n">
        <v>250</v>
      </c>
      <c r="H108" t="n">
        <v>0.02</v>
      </c>
      <c r="I108" t="n">
        <v>1.77</v>
      </c>
      <c r="J108" t="inlineStr">
        <is>
          <t>Capitol prezent în topul verificat al municipiului; lista nu este exhaustivă.</t>
        </is>
      </c>
    </row>
    <row r="109">
      <c r="A109" t="n">
        <v>2025</v>
      </c>
      <c r="B109" t="inlineStr">
        <is>
          <t>26564</t>
        </is>
      </c>
      <c r="C109" t="inlineStr">
        <is>
          <t>Oradea</t>
        </is>
      </c>
      <c r="D109" t="inlineStr">
        <is>
          <t>Bihor</t>
        </is>
      </c>
      <c r="E109" t="inlineStr">
        <is>
          <t>66.02</t>
        </is>
      </c>
      <c r="F109" t="inlineStr">
        <is>
          <t>SANATATE</t>
        </is>
      </c>
      <c r="G109" t="n">
        <v>711269.55</v>
      </c>
      <c r="H109" t="n">
        <v>28.09</v>
      </c>
      <c r="I109" t="n">
        <v>3884.49</v>
      </c>
      <c r="J109" t="inlineStr">
        <is>
          <t>Capitol prezent în topul verificat al municipiului; lista nu este exhaustivă.</t>
        </is>
      </c>
    </row>
    <row r="110">
      <c r="A110" t="n">
        <v>2025</v>
      </c>
      <c r="B110" t="inlineStr">
        <is>
          <t>26564</t>
        </is>
      </c>
      <c r="C110" t="inlineStr">
        <is>
          <t>Oradea</t>
        </is>
      </c>
      <c r="D110" t="inlineStr">
        <is>
          <t>Bihor</t>
        </is>
      </c>
      <c r="E110" t="inlineStr">
        <is>
          <t>84.02</t>
        </is>
      </c>
      <c r="F110" t="inlineStr">
        <is>
          <t>TRANSPORTURI</t>
        </is>
      </c>
      <c r="G110" t="n">
        <v>499024.98</v>
      </c>
      <c r="H110" t="n">
        <v>19.71</v>
      </c>
      <c r="I110" t="n">
        <v>2725.35</v>
      </c>
      <c r="J110" t="inlineStr">
        <is>
          <t>Capitol prezent în topul verificat al municipiului; lista nu este exhaustivă.</t>
        </is>
      </c>
    </row>
    <row r="111">
      <c r="A111" t="n">
        <v>2025</v>
      </c>
      <c r="B111" t="inlineStr">
        <is>
          <t>26564</t>
        </is>
      </c>
      <c r="C111" t="inlineStr">
        <is>
          <t>Oradea</t>
        </is>
      </c>
      <c r="D111" t="inlineStr">
        <is>
          <t>Bihor</t>
        </is>
      </c>
      <c r="E111" t="inlineStr">
        <is>
          <t>81.02</t>
        </is>
      </c>
      <c r="F111" t="inlineStr">
        <is>
          <t>COMBUSTIBILI SI ENERGIE</t>
        </is>
      </c>
      <c r="G111" t="n">
        <v>312794.97</v>
      </c>
      <c r="H111" t="n">
        <v>12.35</v>
      </c>
      <c r="I111" t="n">
        <v>1708.28</v>
      </c>
      <c r="J111" t="inlineStr">
        <is>
          <t>Capitol prezent în topul verificat al municipiului; lista nu este exhaustivă.</t>
        </is>
      </c>
    </row>
    <row r="112">
      <c r="A112" t="n">
        <v>2025</v>
      </c>
      <c r="B112" t="inlineStr">
        <is>
          <t>26564</t>
        </is>
      </c>
      <c r="C112" t="inlineStr">
        <is>
          <t>Oradea</t>
        </is>
      </c>
      <c r="D112" t="inlineStr">
        <is>
          <t>Bihor</t>
        </is>
      </c>
      <c r="E112" t="inlineStr">
        <is>
          <t>65.02</t>
        </is>
      </c>
      <c r="F112" t="inlineStr">
        <is>
          <t>INVATAMANT</t>
        </is>
      </c>
      <c r="G112" t="n">
        <v>305894.81</v>
      </c>
      <c r="H112" t="n">
        <v>12.08</v>
      </c>
      <c r="I112" t="n">
        <v>1670.6</v>
      </c>
      <c r="J112" t="inlineStr">
        <is>
          <t>Capitol prezent în topul verificat al municipiului; lista nu este exhaustivă.</t>
        </is>
      </c>
    </row>
    <row r="113">
      <c r="A113" t="n">
        <v>2025</v>
      </c>
      <c r="B113" t="inlineStr">
        <is>
          <t>26564</t>
        </is>
      </c>
      <c r="C113" t="inlineStr">
        <is>
          <t>Oradea</t>
        </is>
      </c>
      <c r="D113" t="inlineStr">
        <is>
          <t>Bihor</t>
        </is>
      </c>
      <c r="E113" t="inlineStr">
        <is>
          <t>70.02</t>
        </is>
      </c>
      <c r="F113" t="inlineStr">
        <is>
          <t>LOCUINTE, SERVICII SI DEZVOLTARE</t>
        </is>
      </c>
      <c r="G113" t="n">
        <v>250922.28</v>
      </c>
      <c r="H113" t="n">
        <v>9.91</v>
      </c>
      <c r="I113" t="n">
        <v>1370.37</v>
      </c>
      <c r="J113" t="inlineStr">
        <is>
          <t>Capitol prezent în topul verificat al municipiului; lista nu este exhaustivă.</t>
        </is>
      </c>
    </row>
    <row r="114">
      <c r="A114" t="n">
        <v>2025</v>
      </c>
      <c r="B114" t="inlineStr">
        <is>
          <t>26564</t>
        </is>
      </c>
      <c r="C114" t="inlineStr">
        <is>
          <t>Oradea</t>
        </is>
      </c>
      <c r="D114" t="inlineStr">
        <is>
          <t>Bihor</t>
        </is>
      </c>
      <c r="E114" t="inlineStr">
        <is>
          <t>51.02</t>
        </is>
      </c>
      <c r="F114" t="inlineStr">
        <is>
          <t>AUTORITATI PUBLICE SI ACTIUNI EXTERNE</t>
        </is>
      </c>
      <c r="G114" t="n">
        <v>106710.03</v>
      </c>
      <c r="H114" t="n">
        <v>4.21</v>
      </c>
      <c r="I114" t="n">
        <v>582.78</v>
      </c>
      <c r="J114" t="inlineStr">
        <is>
          <t>Capitol prezent în topul verificat al municipiului; lista nu este exhaustivă.</t>
        </is>
      </c>
    </row>
    <row r="115">
      <c r="A115" t="n">
        <v>2025</v>
      </c>
      <c r="B115" t="inlineStr">
        <is>
          <t>26564</t>
        </is>
      </c>
      <c r="C115" t="inlineStr">
        <is>
          <t>Oradea</t>
        </is>
      </c>
      <c r="D115" t="inlineStr">
        <is>
          <t>Bihor</t>
        </is>
      </c>
      <c r="E115" t="inlineStr">
        <is>
          <t>67.02</t>
        </is>
      </c>
      <c r="F115" t="inlineStr">
        <is>
          <t>CULTURA, RECREERE SI RELIGIE</t>
        </is>
      </c>
      <c r="G115" t="n">
        <v>102525.23</v>
      </c>
      <c r="H115" t="n">
        <v>4.05</v>
      </c>
      <c r="I115" t="n">
        <v>559.9299999999999</v>
      </c>
      <c r="J115" t="inlineStr">
        <is>
          <t>Capitol prezent în topul verificat al municipiului; lista nu este exhaustivă.</t>
        </is>
      </c>
    </row>
    <row r="116">
      <c r="A116" t="n">
        <v>2025</v>
      </c>
      <c r="B116" t="inlineStr">
        <is>
          <t>26564</t>
        </is>
      </c>
      <c r="C116" t="inlineStr">
        <is>
          <t>Oradea</t>
        </is>
      </c>
      <c r="D116" t="inlineStr">
        <is>
          <t>Bihor</t>
        </is>
      </c>
      <c r="E116" t="inlineStr">
        <is>
          <t>68.02</t>
        </is>
      </c>
      <c r="F116" t="inlineStr">
        <is>
          <t>ASIGURARI SI ASISTENTA SOCIALA</t>
        </is>
      </c>
      <c r="G116" t="n">
        <v>91558.86</v>
      </c>
      <c r="H116" t="n">
        <v>3.62</v>
      </c>
      <c r="I116" t="n">
        <v>500.03</v>
      </c>
      <c r="J116" t="inlineStr">
        <is>
          <t>Capitol prezent în topul verificat al municipiului; lista nu este exhaustivă.</t>
        </is>
      </c>
    </row>
    <row r="117">
      <c r="A117" t="n">
        <v>2025</v>
      </c>
      <c r="B117" t="inlineStr">
        <is>
          <t>26564</t>
        </is>
      </c>
      <c r="C117" t="inlineStr">
        <is>
          <t>Oradea</t>
        </is>
      </c>
      <c r="D117" t="inlineStr">
        <is>
          <t>Bihor</t>
        </is>
      </c>
      <c r="E117" t="inlineStr">
        <is>
          <t>74.02</t>
        </is>
      </c>
      <c r="F117" t="inlineStr">
        <is>
          <t>PROTECTIA MEDIULUI</t>
        </is>
      </c>
      <c r="G117" t="n">
        <v>76185.8</v>
      </c>
      <c r="H117" t="n">
        <v>3.01</v>
      </c>
      <c r="I117" t="n">
        <v>416.08</v>
      </c>
      <c r="J117" t="inlineStr">
        <is>
          <t>Capitol prezent în topul verificat al municipiului; lista nu este exhaustivă.</t>
        </is>
      </c>
    </row>
    <row r="118">
      <c r="A118" t="n">
        <v>2025</v>
      </c>
      <c r="B118" t="inlineStr">
        <is>
          <t>26564</t>
        </is>
      </c>
      <c r="C118" t="inlineStr">
        <is>
          <t>Oradea</t>
        </is>
      </c>
      <c r="D118" t="inlineStr">
        <is>
          <t>Bihor</t>
        </is>
      </c>
      <c r="E118" t="inlineStr">
        <is>
          <t>55.02</t>
        </is>
      </c>
      <c r="F118" t="inlineStr">
        <is>
          <t>TRANZACTII PRIVIND DATORIA PUBLICA SI IMPRUMUTURI</t>
        </is>
      </c>
      <c r="G118" t="n">
        <v>42161</v>
      </c>
      <c r="H118" t="n">
        <v>1.66</v>
      </c>
      <c r="I118" t="n">
        <v>230.26</v>
      </c>
      <c r="J118" t="inlineStr">
        <is>
          <t>Capitol prezent în topul verificat al municipiului; lista nu este exhaustivă.</t>
        </is>
      </c>
    </row>
    <row r="119">
      <c r="A119" t="n">
        <v>2025</v>
      </c>
      <c r="B119" t="inlineStr">
        <is>
          <t>42682</t>
        </is>
      </c>
      <c r="C119" t="inlineStr">
        <is>
          <t>Brăila</t>
        </is>
      </c>
      <c r="D119" t="inlineStr">
        <is>
          <t>Brăila</t>
        </is>
      </c>
      <c r="E119" t="inlineStr">
        <is>
          <t>84.02</t>
        </is>
      </c>
      <c r="F119" t="inlineStr">
        <is>
          <t>Transporturi</t>
        </is>
      </c>
      <c r="G119" t="n">
        <v>234866.12</v>
      </c>
      <c r="H119" t="n">
        <v>27.33</v>
      </c>
      <c r="I119" t="n">
        <v>1518.34</v>
      </c>
      <c r="J119" t="inlineStr">
        <is>
          <t>Capitol prezent în topul verificat al municipiului; lista nu este exhaustivă.</t>
        </is>
      </c>
    </row>
    <row r="120">
      <c r="A120" t="n">
        <v>2025</v>
      </c>
      <c r="B120" t="inlineStr">
        <is>
          <t>42682</t>
        </is>
      </c>
      <c r="C120" t="inlineStr">
        <is>
          <t>Brăila</t>
        </is>
      </c>
      <c r="D120" t="inlineStr">
        <is>
          <t>Brăila</t>
        </is>
      </c>
      <c r="E120" t="inlineStr">
        <is>
          <t>68.02</t>
        </is>
      </c>
      <c r="F120" t="inlineStr">
        <is>
          <t>Asigurări și asistență socială</t>
        </is>
      </c>
      <c r="G120" t="n">
        <v>176611.02</v>
      </c>
      <c r="H120" t="n">
        <v>20.55</v>
      </c>
      <c r="I120" t="n">
        <v>1141.74</v>
      </c>
      <c r="J120" t="inlineStr">
        <is>
          <t>Capitol prezent în topul verificat al municipiului; lista nu este exhaustivă.</t>
        </is>
      </c>
    </row>
    <row r="121">
      <c r="A121" t="n">
        <v>2025</v>
      </c>
      <c r="B121" t="inlineStr">
        <is>
          <t>42682</t>
        </is>
      </c>
      <c r="C121" t="inlineStr">
        <is>
          <t>Brăila</t>
        </is>
      </c>
      <c r="D121" t="inlineStr">
        <is>
          <t>Brăila</t>
        </is>
      </c>
      <c r="E121" t="inlineStr">
        <is>
          <t>65.02</t>
        </is>
      </c>
      <c r="F121" t="inlineStr">
        <is>
          <t>Invatamant</t>
        </is>
      </c>
      <c r="G121" t="n">
        <v>121871.9</v>
      </c>
      <c r="H121" t="n">
        <v>14.18</v>
      </c>
      <c r="I121" t="n">
        <v>787.87</v>
      </c>
      <c r="J121" t="inlineStr">
        <is>
          <t>Capitol prezent în topul verificat al municipiului; lista nu este exhaustivă.</t>
        </is>
      </c>
    </row>
    <row r="122">
      <c r="A122" t="n">
        <v>2025</v>
      </c>
      <c r="B122" t="inlineStr">
        <is>
          <t>42682</t>
        </is>
      </c>
      <c r="C122" t="inlineStr">
        <is>
          <t>Brăila</t>
        </is>
      </c>
      <c r="D122" t="inlineStr">
        <is>
          <t>Brăila</t>
        </is>
      </c>
      <c r="E122" t="inlineStr">
        <is>
          <t>74.02</t>
        </is>
      </c>
      <c r="F122" t="inlineStr">
        <is>
          <t>Protecia mediului</t>
        </is>
      </c>
      <c r="G122" t="n">
        <v>95241.67999999999</v>
      </c>
      <c r="H122" t="n">
        <v>11.08</v>
      </c>
      <c r="I122" t="n">
        <v>615.71</v>
      </c>
      <c r="J122" t="inlineStr">
        <is>
          <t>Capitol prezent în topul verificat al municipiului; lista nu este exhaustivă.</t>
        </is>
      </c>
    </row>
    <row r="123">
      <c r="A123" t="n">
        <v>2025</v>
      </c>
      <c r="B123" t="inlineStr">
        <is>
          <t>42682</t>
        </is>
      </c>
      <c r="C123" t="inlineStr">
        <is>
          <t>Brăila</t>
        </is>
      </c>
      <c r="D123" t="inlineStr">
        <is>
          <t>Brăila</t>
        </is>
      </c>
      <c r="E123" t="inlineStr">
        <is>
          <t>70.02</t>
        </is>
      </c>
      <c r="F123" t="inlineStr">
        <is>
          <t>Locuințe, servicii și dezvoltare publică</t>
        </is>
      </c>
      <c r="G123" t="n">
        <v>64804.68</v>
      </c>
      <c r="H123" t="n">
        <v>7.54</v>
      </c>
      <c r="I123" t="n">
        <v>418.94</v>
      </c>
      <c r="J123" t="inlineStr">
        <is>
          <t>Capitol prezent în topul verificat al municipiului; lista nu este exhaustivă.</t>
        </is>
      </c>
    </row>
    <row r="124">
      <c r="A124" t="n">
        <v>2025</v>
      </c>
      <c r="B124" t="inlineStr">
        <is>
          <t>42682</t>
        </is>
      </c>
      <c r="C124" t="inlineStr">
        <is>
          <t>Brăila</t>
        </is>
      </c>
      <c r="D124" t="inlineStr">
        <is>
          <t>Brăila</t>
        </is>
      </c>
      <c r="E124" t="inlineStr">
        <is>
          <t>51.02</t>
        </is>
      </c>
      <c r="F124" t="inlineStr">
        <is>
          <t>Autoritati publice si actiuni externe</t>
        </is>
      </c>
      <c r="G124" t="n">
        <v>59372.46</v>
      </c>
      <c r="H124" t="n">
        <v>6.91</v>
      </c>
      <c r="I124" t="n">
        <v>383.83</v>
      </c>
      <c r="J124" t="inlineStr">
        <is>
          <t>Capitol prezent în topul verificat al municipiului; lista nu este exhaustivă.</t>
        </is>
      </c>
    </row>
    <row r="125">
      <c r="A125" t="n">
        <v>2025</v>
      </c>
      <c r="B125" t="inlineStr">
        <is>
          <t>42682</t>
        </is>
      </c>
      <c r="C125" t="inlineStr">
        <is>
          <t>Brăila</t>
        </is>
      </c>
      <c r="D125" t="inlineStr">
        <is>
          <t>Brăila</t>
        </is>
      </c>
      <c r="E125" t="inlineStr">
        <is>
          <t>67.02</t>
        </is>
      </c>
      <c r="F125" t="inlineStr">
        <is>
          <t>Cultură, recreere și religie</t>
        </is>
      </c>
      <c r="G125" t="n">
        <v>56322.99</v>
      </c>
      <c r="H125" t="n">
        <v>6.55</v>
      </c>
      <c r="I125" t="n">
        <v>364.11</v>
      </c>
      <c r="J125" t="inlineStr">
        <is>
          <t>Capitol prezent în topul verificat al municipiului; lista nu este exhaustivă.</t>
        </is>
      </c>
    </row>
    <row r="126">
      <c r="A126" t="n">
        <v>2025</v>
      </c>
      <c r="B126" t="inlineStr">
        <is>
          <t>42682</t>
        </is>
      </c>
      <c r="C126" t="inlineStr">
        <is>
          <t>Brăila</t>
        </is>
      </c>
      <c r="D126" t="inlineStr">
        <is>
          <t>Brăila</t>
        </is>
      </c>
      <c r="E126" t="inlineStr">
        <is>
          <t>61.02</t>
        </is>
      </c>
      <c r="F126" t="inlineStr">
        <is>
          <t>Ordine publica si siguranta nationala</t>
        </is>
      </c>
      <c r="G126" t="n">
        <v>21172.73</v>
      </c>
      <c r="H126" t="n">
        <v>2.46</v>
      </c>
      <c r="I126" t="n">
        <v>136.88</v>
      </c>
      <c r="J126" t="inlineStr">
        <is>
          <t>Capitol prezent în topul verificat al municipiului; lista nu este exhaustivă.</t>
        </is>
      </c>
    </row>
    <row r="127">
      <c r="A127" t="n">
        <v>2025</v>
      </c>
      <c r="B127" t="inlineStr">
        <is>
          <t>42682</t>
        </is>
      </c>
      <c r="C127" t="inlineStr">
        <is>
          <t>Brăila</t>
        </is>
      </c>
      <c r="D127" t="inlineStr">
        <is>
          <t>Brăila</t>
        </is>
      </c>
      <c r="E127" t="inlineStr">
        <is>
          <t>66.02</t>
        </is>
      </c>
      <c r="F127" t="inlineStr">
        <is>
          <t>Sanatate</t>
        </is>
      </c>
      <c r="G127" t="n">
        <v>14275</v>
      </c>
      <c r="H127" t="n">
        <v>1.66</v>
      </c>
      <c r="I127" t="n">
        <v>92.28</v>
      </c>
      <c r="J127" t="inlineStr">
        <is>
          <t>Capitol prezent în topul verificat al municipiului; lista nu este exhaustivă.</t>
        </is>
      </c>
    </row>
    <row r="128">
      <c r="A128" t="n">
        <v>2025</v>
      </c>
      <c r="B128" t="inlineStr">
        <is>
          <t>42682</t>
        </is>
      </c>
      <c r="C128" t="inlineStr">
        <is>
          <t>Brăila</t>
        </is>
      </c>
      <c r="D128" t="inlineStr">
        <is>
          <t>Brăila</t>
        </is>
      </c>
      <c r="E128" t="inlineStr">
        <is>
          <t>54.02</t>
        </is>
      </c>
      <c r="F128" t="inlineStr">
        <is>
          <t>Alte servicii publice generale</t>
        </is>
      </c>
      <c r="G128" t="n">
        <v>13322.71</v>
      </c>
      <c r="H128" t="n">
        <v>1.55</v>
      </c>
      <c r="I128" t="n">
        <v>86.13</v>
      </c>
      <c r="J128" t="inlineStr">
        <is>
          <t>Capitol prezent în topul verificat al municipiului; lista nu este exhaustivă.</t>
        </is>
      </c>
    </row>
    <row r="129">
      <c r="A129" t="n">
        <v>2025</v>
      </c>
      <c r="B129" t="inlineStr">
        <is>
          <t>44818</t>
        </is>
      </c>
      <c r="C129" t="inlineStr">
        <is>
          <t>Buzău</t>
        </is>
      </c>
      <c r="D129" t="inlineStr">
        <is>
          <t>Buzău</t>
        </is>
      </c>
      <c r="E129" t="inlineStr">
        <is>
          <t>00.01</t>
        </is>
      </c>
      <c r="F129" t="inlineStr">
        <is>
          <t>III. OPERATIUNI FINANCIARE</t>
        </is>
      </c>
      <c r="G129" t="n">
        <v>100205.81</v>
      </c>
      <c r="H129" t="n">
        <v>11.17</v>
      </c>
      <c r="I129" t="n">
        <v>968.35</v>
      </c>
      <c r="J129" t="inlineStr">
        <is>
          <t>Capitol prezent în topul verificat al municipiului; lista nu este exhaustivă.</t>
        </is>
      </c>
    </row>
    <row r="130">
      <c r="A130" t="n">
        <v>2025</v>
      </c>
      <c r="B130" t="inlineStr">
        <is>
          <t>44818</t>
        </is>
      </c>
      <c r="C130" t="inlineStr">
        <is>
          <t>Buzău</t>
        </is>
      </c>
      <c r="D130" t="inlineStr">
        <is>
          <t>Buzău</t>
        </is>
      </c>
      <c r="E130" t="inlineStr">
        <is>
          <t>68.02</t>
        </is>
      </c>
      <c r="F130" t="inlineStr">
        <is>
          <t>Asigurari si asistenta sociala</t>
        </is>
      </c>
      <c r="G130" t="n">
        <v>66142</v>
      </c>
      <c r="H130" t="n">
        <v>7.37</v>
      </c>
      <c r="I130" t="n">
        <v>639.17</v>
      </c>
      <c r="J130" t="inlineStr">
        <is>
          <t>Capitol prezent în topul verificat al municipiului; lista nu este exhaustivă.</t>
        </is>
      </c>
    </row>
    <row r="131">
      <c r="A131" t="n">
        <v>2025</v>
      </c>
      <c r="B131" t="inlineStr">
        <is>
          <t>44818</t>
        </is>
      </c>
      <c r="C131" t="inlineStr">
        <is>
          <t>Buzău</t>
        </is>
      </c>
      <c r="D131" t="inlineStr">
        <is>
          <t>Buzău</t>
        </is>
      </c>
      <c r="E131" t="inlineStr">
        <is>
          <t>67.02</t>
        </is>
      </c>
      <c r="F131" t="inlineStr">
        <is>
          <t>Cultura, recreere si religie</t>
        </is>
      </c>
      <c r="G131" t="n">
        <v>40643</v>
      </c>
      <c r="H131" t="n">
        <v>4.53</v>
      </c>
      <c r="I131" t="n">
        <v>392.76</v>
      </c>
      <c r="J131" t="inlineStr">
        <is>
          <t>Capitol prezent în topul verificat al municipiului; lista nu este exhaustivă.</t>
        </is>
      </c>
    </row>
    <row r="132">
      <c r="A132" t="n">
        <v>2025</v>
      </c>
      <c r="B132" t="inlineStr">
        <is>
          <t>44818</t>
        </is>
      </c>
      <c r="C132" t="inlineStr">
        <is>
          <t>Buzău</t>
        </is>
      </c>
      <c r="D132" t="inlineStr">
        <is>
          <t>Buzău</t>
        </is>
      </c>
      <c r="E132" t="inlineStr">
        <is>
          <t>84.02</t>
        </is>
      </c>
      <c r="F132" t="inlineStr">
        <is>
          <t>Transporturi</t>
        </is>
      </c>
      <c r="G132" t="n">
        <v>33927.78</v>
      </c>
      <c r="H132" t="n">
        <v>3.78</v>
      </c>
      <c r="I132" t="n">
        <v>327.86</v>
      </c>
      <c r="J132" t="inlineStr">
        <is>
          <t>Capitol prezent în topul verificat al municipiului; lista nu este exhaustivă.</t>
        </is>
      </c>
    </row>
    <row r="133">
      <c r="A133" t="n">
        <v>2025</v>
      </c>
      <c r="B133" t="inlineStr">
        <is>
          <t>44818</t>
        </is>
      </c>
      <c r="C133" t="inlineStr">
        <is>
          <t>Buzău</t>
        </is>
      </c>
      <c r="D133" t="inlineStr">
        <is>
          <t>Buzău</t>
        </is>
      </c>
      <c r="E133" t="inlineStr">
        <is>
          <t>65.02</t>
        </is>
      </c>
      <c r="F133" t="inlineStr">
        <is>
          <t>Invatamant</t>
        </is>
      </c>
      <c r="G133" t="n">
        <v>26849.76</v>
      </c>
      <c r="H133" t="n">
        <v>2.99</v>
      </c>
      <c r="I133" t="n">
        <v>259.47</v>
      </c>
      <c r="J133" t="inlineStr">
        <is>
          <t>Capitol prezent în topul verificat al municipiului; lista nu este exhaustivă.</t>
        </is>
      </c>
    </row>
    <row r="134">
      <c r="A134" t="n">
        <v>2025</v>
      </c>
      <c r="B134" t="inlineStr">
        <is>
          <t>44818</t>
        </is>
      </c>
      <c r="C134" t="inlineStr">
        <is>
          <t>Buzău</t>
        </is>
      </c>
      <c r="D134" t="inlineStr">
        <is>
          <t>Buzău</t>
        </is>
      </c>
      <c r="E134" t="inlineStr">
        <is>
          <t>61.02</t>
        </is>
      </c>
      <c r="F134" t="inlineStr">
        <is>
          <t>Ordine publica si siguranta nationala</t>
        </is>
      </c>
      <c r="G134" t="n">
        <v>26780</v>
      </c>
      <c r="H134" t="n">
        <v>2.98</v>
      </c>
      <c r="I134" t="n">
        <v>258.79</v>
      </c>
      <c r="J134" t="inlineStr">
        <is>
          <t>Capitol prezent în topul verificat al municipiului; lista nu este exhaustivă.</t>
        </is>
      </c>
    </row>
    <row r="135">
      <c r="A135" t="n">
        <v>2025</v>
      </c>
      <c r="B135" t="inlineStr">
        <is>
          <t>44818</t>
        </is>
      </c>
      <c r="C135" t="inlineStr">
        <is>
          <t>Buzău</t>
        </is>
      </c>
      <c r="D135" t="inlineStr">
        <is>
          <t>Buzău</t>
        </is>
      </c>
      <c r="E135" t="inlineStr">
        <is>
          <t>74.02</t>
        </is>
      </c>
      <c r="F135" t="inlineStr">
        <is>
          <t>Protectia mediului</t>
        </is>
      </c>
      <c r="G135" t="n">
        <v>24401</v>
      </c>
      <c r="H135" t="n">
        <v>2.72</v>
      </c>
      <c r="I135" t="n">
        <v>235.8</v>
      </c>
      <c r="J135" t="inlineStr">
        <is>
          <t>Capitol prezent în topul verificat al municipiului; lista nu este exhaustivă.</t>
        </is>
      </c>
    </row>
    <row r="136">
      <c r="A136" t="n">
        <v>2025</v>
      </c>
      <c r="B136" t="inlineStr">
        <is>
          <t>44818</t>
        </is>
      </c>
      <c r="C136" t="inlineStr">
        <is>
          <t>Buzău</t>
        </is>
      </c>
      <c r="D136" t="inlineStr">
        <is>
          <t>Buzău</t>
        </is>
      </c>
      <c r="E136" t="inlineStr">
        <is>
          <t>55.02</t>
        </is>
      </c>
      <c r="F136" t="inlineStr">
        <is>
          <t>Tranzactii privind datoria publica si imprumuturi ()</t>
        </is>
      </c>
      <c r="G136" t="n">
        <v>14317</v>
      </c>
      <c r="H136" t="n">
        <v>1.6</v>
      </c>
      <c r="I136" t="n">
        <v>138.35</v>
      </c>
      <c r="J136" t="inlineStr">
        <is>
          <t>Capitol prezent în topul verificat al municipiului; lista nu este exhaustivă.</t>
        </is>
      </c>
    </row>
    <row r="137">
      <c r="A137" t="n">
        <v>2025</v>
      </c>
      <c r="B137" t="inlineStr">
        <is>
          <t>44818</t>
        </is>
      </c>
      <c r="C137" t="inlineStr">
        <is>
          <t>Buzău</t>
        </is>
      </c>
      <c r="D137" t="inlineStr">
        <is>
          <t>Buzău</t>
        </is>
      </c>
      <c r="E137" t="inlineStr">
        <is>
          <t>70.02</t>
        </is>
      </c>
      <c r="F137" t="inlineStr">
        <is>
          <t>Locuinte, servicii si dezvoltare publica</t>
        </is>
      </c>
      <c r="G137" t="n">
        <v>13919</v>
      </c>
      <c r="H137" t="n">
        <v>1.55</v>
      </c>
      <c r="I137" t="n">
        <v>134.51</v>
      </c>
      <c r="J137" t="inlineStr">
        <is>
          <t>Capitol prezent în topul verificat al municipiului; lista nu este exhaustivă.</t>
        </is>
      </c>
    </row>
    <row r="138">
      <c r="A138" t="n">
        <v>2025</v>
      </c>
      <c r="B138" t="inlineStr">
        <is>
          <t>44818</t>
        </is>
      </c>
      <c r="C138" t="inlineStr">
        <is>
          <t>Buzău</t>
        </is>
      </c>
      <c r="D138" t="inlineStr">
        <is>
          <t>Buzău</t>
        </is>
      </c>
      <c r="E138" t="inlineStr">
        <is>
          <t>65.10</t>
        </is>
      </c>
      <c r="F138" t="inlineStr">
        <is>
          <t>Invatamant</t>
        </is>
      </c>
      <c r="G138" t="n">
        <v>11155.8</v>
      </c>
      <c r="H138" t="n">
        <v>1.24</v>
      </c>
      <c r="I138" t="n">
        <v>107.81</v>
      </c>
      <c r="J138" t="inlineStr">
        <is>
          <t>Capitol prezent în topul verificat al municipiului; lista nu este exhaustivă.</t>
        </is>
      </c>
    </row>
    <row r="139">
      <c r="A139" t="n">
        <v>2025</v>
      </c>
      <c r="B139" t="inlineStr">
        <is>
          <t>60419</t>
        </is>
      </c>
      <c r="C139" t="inlineStr">
        <is>
          <t>Constanța</t>
        </is>
      </c>
      <c r="D139" t="inlineStr">
        <is>
          <t>Constanța</t>
        </is>
      </c>
      <c r="E139" t="inlineStr">
        <is>
          <t>81.02</t>
        </is>
      </c>
      <c r="F139" t="inlineStr">
        <is>
          <t>Combustibili si energie Din total capitol:</t>
        </is>
      </c>
      <c r="G139" t="n">
        <v>624699</v>
      </c>
      <c r="H139" t="n">
        <v>27.03</v>
      </c>
      <c r="I139" t="n">
        <v>2369.08</v>
      </c>
      <c r="J139" t="inlineStr">
        <is>
          <t>Capitol prezent în topul verificat al municipiului; lista nu este exhaustivă.</t>
        </is>
      </c>
    </row>
    <row r="140">
      <c r="A140" t="n">
        <v>2025</v>
      </c>
      <c r="B140" t="inlineStr">
        <is>
          <t>60419</t>
        </is>
      </c>
      <c r="C140" t="inlineStr">
        <is>
          <t>Constanța</t>
        </is>
      </c>
      <c r="D140" t="inlineStr">
        <is>
          <t>Constanța</t>
        </is>
      </c>
      <c r="E140" t="inlineStr">
        <is>
          <t>84.02</t>
        </is>
      </c>
      <c r="F140" t="inlineStr">
        <is>
          <t>Transporturi Din total capitol:</t>
        </is>
      </c>
      <c r="G140" t="n">
        <v>272811</v>
      </c>
      <c r="H140" t="n">
        <v>11.8</v>
      </c>
      <c r="I140" t="n">
        <v>1034.6</v>
      </c>
      <c r="J140" t="inlineStr">
        <is>
          <t>Capitol prezent în topul verificat al municipiului; lista nu este exhaustivă.</t>
        </is>
      </c>
    </row>
    <row r="141">
      <c r="A141" t="n">
        <v>2025</v>
      </c>
      <c r="B141" t="inlineStr">
        <is>
          <t>60419</t>
        </is>
      </c>
      <c r="C141" t="inlineStr">
        <is>
          <t>Constanța</t>
        </is>
      </c>
      <c r="D141" t="inlineStr">
        <is>
          <t>Constanța</t>
        </is>
      </c>
      <c r="E141" t="inlineStr">
        <is>
          <t>74.02</t>
        </is>
      </c>
      <c r="F141" t="inlineStr">
        <is>
          <t>Protectia mediului</t>
        </is>
      </c>
      <c r="G141" t="n">
        <v>222167</v>
      </c>
      <c r="H141" t="n">
        <v>9.609999999999999</v>
      </c>
      <c r="I141" t="n">
        <v>842.54</v>
      </c>
      <c r="J141" t="inlineStr">
        <is>
          <t>Capitol prezent în topul verificat al municipiului; lista nu este exhaustivă.</t>
        </is>
      </c>
    </row>
    <row r="142">
      <c r="A142" t="n">
        <v>2025</v>
      </c>
      <c r="B142" t="inlineStr">
        <is>
          <t>60419</t>
        </is>
      </c>
      <c r="C142" t="inlineStr">
        <is>
          <t>Constanța</t>
        </is>
      </c>
      <c r="D142" t="inlineStr">
        <is>
          <t>Constanța</t>
        </is>
      </c>
      <c r="E142" t="inlineStr">
        <is>
          <t>51.02</t>
        </is>
      </c>
      <c r="F142" t="inlineStr">
        <is>
          <t>Autoritati publice si actiuni externe Din total capitol:</t>
        </is>
      </c>
      <c r="G142" t="n">
        <v>166876</v>
      </c>
      <c r="H142" t="n">
        <v>7.22</v>
      </c>
      <c r="I142" t="n">
        <v>632.85</v>
      </c>
      <c r="J142" t="inlineStr">
        <is>
          <t>Capitol prezent în topul verificat al municipiului; lista nu este exhaustivă.</t>
        </is>
      </c>
    </row>
    <row r="143">
      <c r="A143" t="n">
        <v>2025</v>
      </c>
      <c r="B143" t="inlineStr">
        <is>
          <t>60419</t>
        </is>
      </c>
      <c r="C143" t="inlineStr">
        <is>
          <t>Constanța</t>
        </is>
      </c>
      <c r="D143" t="inlineStr">
        <is>
          <t>Constanța</t>
        </is>
      </c>
      <c r="E143" t="inlineStr">
        <is>
          <t>66.02</t>
        </is>
      </c>
      <c r="F143" t="inlineStr">
        <is>
          <t>Sanatate Din total capitol:</t>
        </is>
      </c>
      <c r="G143" t="n">
        <v>96847</v>
      </c>
      <c r="H143" t="n">
        <v>4.19</v>
      </c>
      <c r="I143" t="n">
        <v>367.28</v>
      </c>
      <c r="J143" t="inlineStr">
        <is>
          <t>Capitol prezent în topul verificat al municipiului; lista nu este exhaustivă.</t>
        </is>
      </c>
    </row>
    <row r="144">
      <c r="A144" t="n">
        <v>2025</v>
      </c>
      <c r="B144" t="inlineStr">
        <is>
          <t>60419</t>
        </is>
      </c>
      <c r="C144" t="inlineStr">
        <is>
          <t>Constanța</t>
        </is>
      </c>
      <c r="D144" t="inlineStr">
        <is>
          <t>Constanța</t>
        </is>
      </c>
      <c r="E144" t="inlineStr">
        <is>
          <t>61.02</t>
        </is>
      </c>
      <c r="F144" t="inlineStr">
        <is>
          <t>Ordine publica si siguranta nationala Din total capitol:</t>
        </is>
      </c>
      <c r="G144" t="n">
        <v>49930</v>
      </c>
      <c r="H144" t="n">
        <v>2.16</v>
      </c>
      <c r="I144" t="n">
        <v>189.35</v>
      </c>
      <c r="J144" t="inlineStr">
        <is>
          <t>Capitol prezent în topul verificat al municipiului; lista nu este exhaustivă.</t>
        </is>
      </c>
    </row>
    <row r="145">
      <c r="A145" t="n">
        <v>2025</v>
      </c>
      <c r="B145" t="inlineStr">
        <is>
          <t>60419</t>
        </is>
      </c>
      <c r="C145" t="inlineStr">
        <is>
          <t>Constanța</t>
        </is>
      </c>
      <c r="D145" t="inlineStr">
        <is>
          <t>Constanța</t>
        </is>
      </c>
      <c r="E145" t="inlineStr">
        <is>
          <t>55.02</t>
        </is>
      </c>
      <c r="F145" t="inlineStr">
        <is>
          <t>Tranzacții privind datoria publică şi împrumuturi</t>
        </is>
      </c>
      <c r="G145" t="n">
        <v>12980</v>
      </c>
      <c r="H145" t="n">
        <v>0.5600000000000001</v>
      </c>
      <c r="I145" t="n">
        <v>49.22</v>
      </c>
      <c r="J145" t="inlineStr">
        <is>
          <t>Capitol prezent în topul verificat al municipiului; lista nu este exhaustivă.</t>
        </is>
      </c>
    </row>
    <row r="146">
      <c r="A146" t="n">
        <v>2025</v>
      </c>
      <c r="B146" t="inlineStr">
        <is>
          <t>60419</t>
        </is>
      </c>
      <c r="C146" t="inlineStr">
        <is>
          <t>Constanța</t>
        </is>
      </c>
      <c r="D146" t="inlineStr">
        <is>
          <t>Constanța</t>
        </is>
      </c>
      <c r="E146" t="inlineStr">
        <is>
          <t>87.02</t>
        </is>
      </c>
      <c r="F146" t="inlineStr">
        <is>
          <t>Alte actiuni economice Din total capitol:</t>
        </is>
      </c>
      <c r="G146" t="n">
        <v>4140</v>
      </c>
      <c r="H146" t="n">
        <v>0.18</v>
      </c>
      <c r="I146" t="n">
        <v>15.7</v>
      </c>
      <c r="J146" t="inlineStr">
        <is>
          <t>Capitol prezent în topul verificat al municipiului; lista nu este exhaustivă.</t>
        </is>
      </c>
    </row>
    <row r="147">
      <c r="A147" t="n">
        <v>2025</v>
      </c>
      <c r="B147" t="inlineStr">
        <is>
          <t>60419</t>
        </is>
      </c>
      <c r="C147" t="inlineStr">
        <is>
          <t>Constanța</t>
        </is>
      </c>
      <c r="D147" t="inlineStr">
        <is>
          <t>Constanța</t>
        </is>
      </c>
      <c r="E147" t="inlineStr">
        <is>
          <t>54.02</t>
        </is>
      </c>
      <c r="F147" t="inlineStr">
        <is>
          <t>Alte servicii publice generale Din total capitol:</t>
        </is>
      </c>
      <c r="G147" t="n">
        <v>950</v>
      </c>
      <c r="H147" t="n">
        <v>0.04</v>
      </c>
      <c r="I147" t="n">
        <v>3.6</v>
      </c>
      <c r="J147" t="inlineStr">
        <is>
          <t>Capitol prezent în topul verificat al municipiului; lista nu este exhaustivă.</t>
        </is>
      </c>
    </row>
    <row r="148">
      <c r="A148" t="n">
        <v>2025</v>
      </c>
      <c r="B148" t="inlineStr">
        <is>
          <t>60419</t>
        </is>
      </c>
      <c r="C148" t="inlineStr">
        <is>
          <t>Constanța</t>
        </is>
      </c>
      <c r="D148" t="inlineStr">
        <is>
          <t>Constanța</t>
        </is>
      </c>
      <c r="E148" t="inlineStr">
        <is>
          <t>80.02</t>
        </is>
      </c>
      <c r="F148" t="inlineStr">
        <is>
          <t>Actiuni generale economice, comerciale si de munca Din total capitol:</t>
        </is>
      </c>
      <c r="G148" t="n">
        <v>572</v>
      </c>
      <c r="H148" t="n">
        <v>0.02</v>
      </c>
      <c r="I148" t="n">
        <v>2.17</v>
      </c>
      <c r="J148" t="inlineStr">
        <is>
          <t>Capitol prezent în topul verificat al municipiului; lista nu este exhaustivă.</t>
        </is>
      </c>
    </row>
    <row r="149">
      <c r="A149" t="n">
        <v>2025</v>
      </c>
      <c r="B149" t="inlineStr">
        <is>
          <t>69900</t>
        </is>
      </c>
      <c r="C149" t="inlineStr">
        <is>
          <t>Craiova</t>
        </is>
      </c>
      <c r="D149" t="inlineStr">
        <is>
          <t>Dolj</t>
        </is>
      </c>
      <c r="E149" t="inlineStr">
        <is>
          <t>65.02</t>
        </is>
      </c>
      <c r="F149" t="inlineStr">
        <is>
          <t>Invatamant</t>
        </is>
      </c>
      <c r="G149" t="n">
        <v>315923</v>
      </c>
      <c r="H149" t="n">
        <v>21.63</v>
      </c>
      <c r="I149" t="n">
        <v>1349.29</v>
      </c>
      <c r="J149" t="inlineStr">
        <is>
          <t>Capitol prezent în topul verificat al municipiului; lista nu este exhaustivă.</t>
        </is>
      </c>
    </row>
    <row r="150">
      <c r="A150" t="n">
        <v>2025</v>
      </c>
      <c r="B150" t="inlineStr">
        <is>
          <t>69900</t>
        </is>
      </c>
      <c r="C150" t="inlineStr">
        <is>
          <t>Craiova</t>
        </is>
      </c>
      <c r="D150" t="inlineStr">
        <is>
          <t>Dolj</t>
        </is>
      </c>
      <c r="E150" t="inlineStr">
        <is>
          <t>84.02</t>
        </is>
      </c>
      <c r="F150" t="inlineStr">
        <is>
          <t>Transporturi</t>
        </is>
      </c>
      <c r="G150" t="n">
        <v>238279</v>
      </c>
      <c r="H150" t="n">
        <v>16.32</v>
      </c>
      <c r="I150" t="n">
        <v>1017.68</v>
      </c>
      <c r="J150" t="inlineStr">
        <is>
          <t>Capitol prezent în topul verificat al municipiului; lista nu este exhaustivă.</t>
        </is>
      </c>
    </row>
    <row r="151">
      <c r="A151" t="n">
        <v>2025</v>
      </c>
      <c r="B151" t="inlineStr">
        <is>
          <t>69900</t>
        </is>
      </c>
      <c r="C151" t="inlineStr">
        <is>
          <t>Craiova</t>
        </is>
      </c>
      <c r="D151" t="inlineStr">
        <is>
          <t>Dolj</t>
        </is>
      </c>
      <c r="E151" t="inlineStr">
        <is>
          <t>67.02</t>
        </is>
      </c>
      <c r="F151" t="inlineStr">
        <is>
          <t>Cultura, recreere si religie</t>
        </is>
      </c>
      <c r="G151" t="n">
        <v>188379</v>
      </c>
      <c r="H151" t="n">
        <v>12.9</v>
      </c>
      <c r="I151" t="n">
        <v>804.5599999999999</v>
      </c>
      <c r="J151" t="inlineStr">
        <is>
          <t>Capitol prezent în topul verificat al municipiului; lista nu este exhaustivă.</t>
        </is>
      </c>
    </row>
    <row r="152">
      <c r="A152" t="n">
        <v>2025</v>
      </c>
      <c r="B152" t="inlineStr">
        <is>
          <t>69900</t>
        </is>
      </c>
      <c r="C152" t="inlineStr">
        <is>
          <t>Craiova</t>
        </is>
      </c>
      <c r="D152" t="inlineStr">
        <is>
          <t>Dolj</t>
        </is>
      </c>
      <c r="E152" t="inlineStr">
        <is>
          <t>70.02</t>
        </is>
      </c>
      <c r="F152" t="inlineStr">
        <is>
          <t>Locuinte, servicii si dezvoltare publica</t>
        </is>
      </c>
      <c r="G152" t="n">
        <v>174607</v>
      </c>
      <c r="H152" t="n">
        <v>11.96</v>
      </c>
      <c r="I152" t="n">
        <v>745.74</v>
      </c>
      <c r="J152" t="inlineStr">
        <is>
          <t>Capitol prezent în topul verificat al municipiului; lista nu este exhaustivă.</t>
        </is>
      </c>
    </row>
    <row r="153">
      <c r="A153" t="n">
        <v>2025</v>
      </c>
      <c r="B153" t="inlineStr">
        <is>
          <t>69900</t>
        </is>
      </c>
      <c r="C153" t="inlineStr">
        <is>
          <t>Craiova</t>
        </is>
      </c>
      <c r="D153" t="inlineStr">
        <is>
          <t>Dolj</t>
        </is>
      </c>
      <c r="E153" t="inlineStr">
        <is>
          <t>68.02</t>
        </is>
      </c>
      <c r="F153" t="inlineStr">
        <is>
          <t>Asigurari si asistenta sociala</t>
        </is>
      </c>
      <c r="G153" t="n">
        <v>133648</v>
      </c>
      <c r="H153" t="n">
        <v>9.15</v>
      </c>
      <c r="I153" t="n">
        <v>570.8</v>
      </c>
      <c r="J153" t="inlineStr">
        <is>
          <t>Capitol prezent în topul verificat al municipiului; lista nu este exhaustivă.</t>
        </is>
      </c>
    </row>
    <row r="154">
      <c r="A154" t="n">
        <v>2025</v>
      </c>
      <c r="B154" t="inlineStr">
        <is>
          <t>69900</t>
        </is>
      </c>
      <c r="C154" t="inlineStr">
        <is>
          <t>Craiova</t>
        </is>
      </c>
      <c r="D154" t="inlineStr">
        <is>
          <t>Dolj</t>
        </is>
      </c>
      <c r="E154" t="inlineStr">
        <is>
          <t>51.02</t>
        </is>
      </c>
      <c r="F154" t="inlineStr">
        <is>
          <t>Autoritati publice si actiuni externe</t>
        </is>
      </c>
      <c r="G154" t="n">
        <v>127665</v>
      </c>
      <c r="H154" t="n">
        <v>8.74</v>
      </c>
      <c r="I154" t="n">
        <v>545.25</v>
      </c>
      <c r="J154" t="inlineStr">
        <is>
          <t>Capitol prezent în topul verificat al municipiului; lista nu este exhaustivă.</t>
        </is>
      </c>
    </row>
    <row r="155">
      <c r="A155" t="n">
        <v>2025</v>
      </c>
      <c r="B155" t="inlineStr">
        <is>
          <t>69900</t>
        </is>
      </c>
      <c r="C155" t="inlineStr">
        <is>
          <t>Craiova</t>
        </is>
      </c>
      <c r="D155" t="inlineStr">
        <is>
          <t>Dolj</t>
        </is>
      </c>
      <c r="E155" t="inlineStr">
        <is>
          <t>74.02</t>
        </is>
      </c>
      <c r="F155" t="inlineStr">
        <is>
          <t>Protectia mediului © INDSOFT-SICO - MUNICIPIUL CRAIOVA</t>
        </is>
      </c>
      <c r="G155" t="n">
        <v>123551</v>
      </c>
      <c r="H155" t="n">
        <v>8.460000000000001</v>
      </c>
      <c r="I155" t="n">
        <v>527.6799999999999</v>
      </c>
      <c r="J155" t="inlineStr">
        <is>
          <t>Capitol prezent în topul verificat al municipiului; lista nu este exhaustivă.</t>
        </is>
      </c>
    </row>
    <row r="156">
      <c r="A156" t="n">
        <v>2025</v>
      </c>
      <c r="B156" t="inlineStr">
        <is>
          <t>69900</t>
        </is>
      </c>
      <c r="C156" t="inlineStr">
        <is>
          <t>Craiova</t>
        </is>
      </c>
      <c r="D156" t="inlineStr">
        <is>
          <t>Dolj</t>
        </is>
      </c>
      <c r="E156" t="inlineStr">
        <is>
          <t>66.02</t>
        </is>
      </c>
      <c r="F156" t="inlineStr">
        <is>
          <t>Sanatate</t>
        </is>
      </c>
      <c r="G156" t="n">
        <v>72493</v>
      </c>
      <c r="H156" t="n">
        <v>4.96</v>
      </c>
      <c r="I156" t="n">
        <v>309.61</v>
      </c>
      <c r="J156" t="inlineStr">
        <is>
          <t>Capitol prezent în topul verificat al municipiului; lista nu este exhaustivă.</t>
        </is>
      </c>
    </row>
    <row r="157">
      <c r="A157" t="n">
        <v>2025</v>
      </c>
      <c r="B157" t="inlineStr">
        <is>
          <t>69900</t>
        </is>
      </c>
      <c r="C157" t="inlineStr">
        <is>
          <t>Craiova</t>
        </is>
      </c>
      <c r="D157" t="inlineStr">
        <is>
          <t>Dolj</t>
        </is>
      </c>
      <c r="E157" t="inlineStr">
        <is>
          <t>61.02</t>
        </is>
      </c>
      <c r="F157" t="inlineStr">
        <is>
          <t>Ordine publica si siguranta nationala</t>
        </is>
      </c>
      <c r="G157" t="n">
        <v>35928</v>
      </c>
      <c r="H157" t="n">
        <v>2.46</v>
      </c>
      <c r="I157" t="n">
        <v>153.45</v>
      </c>
      <c r="J157" t="inlineStr">
        <is>
          <t>Capitol prezent în topul verificat al municipiului; lista nu este exhaustivă.</t>
        </is>
      </c>
    </row>
    <row r="158">
      <c r="A158" t="n">
        <v>2025</v>
      </c>
      <c r="B158" t="inlineStr">
        <is>
          <t>69900</t>
        </is>
      </c>
      <c r="C158" t="inlineStr">
        <is>
          <t>Craiova</t>
        </is>
      </c>
      <c r="D158" t="inlineStr">
        <is>
          <t>Dolj</t>
        </is>
      </c>
      <c r="E158" t="inlineStr">
        <is>
          <t>81.02</t>
        </is>
      </c>
      <c r="F158" t="inlineStr">
        <is>
          <t>Combustibili si energie</t>
        </is>
      </c>
      <c r="G158" t="n">
        <v>29100</v>
      </c>
      <c r="H158" t="n">
        <v>1.99</v>
      </c>
      <c r="I158" t="n">
        <v>124.28</v>
      </c>
      <c r="J158" t="inlineStr">
        <is>
          <t>Capitol prezent în topul verificat al municipiului; lista nu este exhaustivă.</t>
        </is>
      </c>
    </row>
    <row r="159">
      <c r="A159" t="n">
        <v>2025</v>
      </c>
      <c r="B159" t="inlineStr">
        <is>
          <t>65342</t>
        </is>
      </c>
      <c r="C159" t="inlineStr">
        <is>
          <t>Târgoviște</t>
        </is>
      </c>
      <c r="D159" t="inlineStr">
        <is>
          <t>Dâmbovița</t>
        </is>
      </c>
      <c r="E159" t="inlineStr">
        <is>
          <t>70.02</t>
        </is>
      </c>
      <c r="F159" t="inlineStr">
        <is>
          <t>Locuinte, servicii si dezvoltare publica</t>
        </is>
      </c>
      <c r="G159" t="n">
        <v>131083</v>
      </c>
      <c r="H159" t="n">
        <v>20.99</v>
      </c>
      <c r="I159" t="n">
        <v>1957.49</v>
      </c>
      <c r="J159" t="inlineStr">
        <is>
          <t>Capitol prezent în topul verificat al municipiului; lista nu este exhaustivă.</t>
        </is>
      </c>
    </row>
    <row r="160">
      <c r="A160" t="n">
        <v>2025</v>
      </c>
      <c r="B160" t="inlineStr">
        <is>
          <t>65342</t>
        </is>
      </c>
      <c r="C160" t="inlineStr">
        <is>
          <t>Târgoviște</t>
        </is>
      </c>
      <c r="D160" t="inlineStr">
        <is>
          <t>Dâmbovița</t>
        </is>
      </c>
      <c r="E160" t="inlineStr">
        <is>
          <t>65.02</t>
        </is>
      </c>
      <c r="F160" t="inlineStr">
        <is>
          <t>Invatamant</t>
        </is>
      </c>
      <c r="G160" t="n">
        <v>127805</v>
      </c>
      <c r="H160" t="n">
        <v>20.46</v>
      </c>
      <c r="I160" t="n">
        <v>1908.53</v>
      </c>
      <c r="J160" t="inlineStr">
        <is>
          <t>Capitol prezent în topul verificat al municipiului; lista nu este exhaustivă.</t>
        </is>
      </c>
    </row>
    <row r="161">
      <c r="A161" t="n">
        <v>2025</v>
      </c>
      <c r="B161" t="inlineStr">
        <is>
          <t>65342</t>
        </is>
      </c>
      <c r="C161" t="inlineStr">
        <is>
          <t>Târgoviște</t>
        </is>
      </c>
      <c r="D161" t="inlineStr">
        <is>
          <t>Dâmbovița</t>
        </is>
      </c>
      <c r="E161" t="inlineStr">
        <is>
          <t>84.02</t>
        </is>
      </c>
      <c r="F161" t="inlineStr">
        <is>
          <t>Transporturi</t>
        </is>
      </c>
      <c r="G161" t="n">
        <v>110973</v>
      </c>
      <c r="H161" t="n">
        <v>17.77</v>
      </c>
      <c r="I161" t="n">
        <v>1657.18</v>
      </c>
      <c r="J161" t="inlineStr">
        <is>
          <t>Capitol prezent în topul verificat al municipiului; lista nu este exhaustivă.</t>
        </is>
      </c>
    </row>
    <row r="162">
      <c r="A162" t="n">
        <v>2025</v>
      </c>
      <c r="B162" t="inlineStr">
        <is>
          <t>65342</t>
        </is>
      </c>
      <c r="C162" t="inlineStr">
        <is>
          <t>Târgoviște</t>
        </is>
      </c>
      <c r="D162" t="inlineStr">
        <is>
          <t>Dâmbovița</t>
        </is>
      </c>
      <c r="E162" t="inlineStr">
        <is>
          <t>68.02</t>
        </is>
      </c>
      <c r="F162" t="inlineStr">
        <is>
          <t>Asigurari si asistenta sociala</t>
        </is>
      </c>
      <c r="G162" t="n">
        <v>91229</v>
      </c>
      <c r="H162" t="n">
        <v>14.61</v>
      </c>
      <c r="I162" t="n">
        <v>1362.34</v>
      </c>
      <c r="J162" t="inlineStr">
        <is>
          <t>Capitol prezent în topul verificat al municipiului; lista nu este exhaustivă.</t>
        </is>
      </c>
    </row>
    <row r="163">
      <c r="A163" t="n">
        <v>2025</v>
      </c>
      <c r="B163" t="inlineStr">
        <is>
          <t>65342</t>
        </is>
      </c>
      <c r="C163" t="inlineStr">
        <is>
          <t>Târgoviște</t>
        </is>
      </c>
      <c r="D163" t="inlineStr">
        <is>
          <t>Dâmbovița</t>
        </is>
      </c>
      <c r="E163" t="inlineStr">
        <is>
          <t>74.02</t>
        </is>
      </c>
      <c r="F163" t="inlineStr">
        <is>
          <t>Protectia mediului</t>
        </is>
      </c>
      <c r="G163" t="n">
        <v>41449</v>
      </c>
      <c r="H163" t="n">
        <v>6.64</v>
      </c>
      <c r="I163" t="n">
        <v>618.97</v>
      </c>
      <c r="J163" t="inlineStr">
        <is>
          <t>Capitol prezent în topul verificat al municipiului; lista nu este exhaustivă.</t>
        </is>
      </c>
    </row>
    <row r="164">
      <c r="A164" t="n">
        <v>2025</v>
      </c>
      <c r="B164" t="inlineStr">
        <is>
          <t>65342</t>
        </is>
      </c>
      <c r="C164" t="inlineStr">
        <is>
          <t>Târgoviște</t>
        </is>
      </c>
      <c r="D164" t="inlineStr">
        <is>
          <t>Dâmbovița</t>
        </is>
      </c>
      <c r="E164" t="inlineStr">
        <is>
          <t>54.02</t>
        </is>
      </c>
      <c r="F164" t="inlineStr">
        <is>
          <t>Alte servicii publice generale</t>
        </is>
      </c>
      <c r="G164" t="n">
        <v>30642</v>
      </c>
      <c r="H164" t="n">
        <v>4.91</v>
      </c>
      <c r="I164" t="n">
        <v>457.58</v>
      </c>
      <c r="J164" t="inlineStr">
        <is>
          <t>Capitol prezent în topul verificat al municipiului; lista nu este exhaustivă.</t>
        </is>
      </c>
    </row>
    <row r="165">
      <c r="A165" t="n">
        <v>2025</v>
      </c>
      <c r="B165" t="inlineStr">
        <is>
          <t>65342</t>
        </is>
      </c>
      <c r="C165" t="inlineStr">
        <is>
          <t>Târgoviște</t>
        </is>
      </c>
      <c r="D165" t="inlineStr">
        <is>
          <t>Dâmbovița</t>
        </is>
      </c>
      <c r="E165" t="inlineStr">
        <is>
          <t>67.02</t>
        </is>
      </c>
      <c r="F165" t="inlineStr">
        <is>
          <t>Cultura, recreere si religie</t>
        </is>
      </c>
      <c r="G165" t="n">
        <v>28437</v>
      </c>
      <c r="H165" t="n">
        <v>4.55</v>
      </c>
      <c r="I165" t="n">
        <v>424.65</v>
      </c>
      <c r="J165" t="inlineStr">
        <is>
          <t>Capitol prezent în topul verificat al municipiului; lista nu este exhaustivă.</t>
        </is>
      </c>
    </row>
    <row r="166">
      <c r="A166" t="n">
        <v>2025</v>
      </c>
      <c r="B166" t="inlineStr">
        <is>
          <t>65342</t>
        </is>
      </c>
      <c r="C166" t="inlineStr">
        <is>
          <t>Târgoviște</t>
        </is>
      </c>
      <c r="D166" t="inlineStr">
        <is>
          <t>Dâmbovița</t>
        </is>
      </c>
      <c r="E166" t="inlineStr">
        <is>
          <t>51.02</t>
        </is>
      </c>
      <c r="F166" t="inlineStr">
        <is>
          <t>Autoritati publice si actiuni externe</t>
        </is>
      </c>
      <c r="G166" t="n">
        <v>26180</v>
      </c>
      <c r="H166" t="n">
        <v>4.19</v>
      </c>
      <c r="I166" t="n">
        <v>390.95</v>
      </c>
      <c r="J166" t="inlineStr">
        <is>
          <t>Capitol prezent în topul verificat al municipiului; lista nu este exhaustivă.</t>
        </is>
      </c>
    </row>
    <row r="167">
      <c r="A167" t="n">
        <v>2025</v>
      </c>
      <c r="B167" t="inlineStr">
        <is>
          <t>65342</t>
        </is>
      </c>
      <c r="C167" t="inlineStr">
        <is>
          <t>Târgoviște</t>
        </is>
      </c>
      <c r="D167" t="inlineStr">
        <is>
          <t>Dâmbovița</t>
        </is>
      </c>
      <c r="E167" t="inlineStr">
        <is>
          <t>61.02</t>
        </is>
      </c>
      <c r="F167" t="inlineStr">
        <is>
          <t>Ordine publica si siguranta nationala</t>
        </is>
      </c>
      <c r="G167" t="n">
        <v>15278</v>
      </c>
      <c r="H167" t="n">
        <v>2.45</v>
      </c>
      <c r="I167" t="n">
        <v>228.15</v>
      </c>
      <c r="J167" t="inlineStr">
        <is>
          <t>Capitol prezent în topul verificat al municipiului; lista nu este exhaustivă.</t>
        </is>
      </c>
    </row>
    <row r="168">
      <c r="A168" t="n">
        <v>2025</v>
      </c>
      <c r="B168" t="inlineStr">
        <is>
          <t>65342</t>
        </is>
      </c>
      <c r="C168" t="inlineStr">
        <is>
          <t>Târgoviște</t>
        </is>
      </c>
      <c r="D168" t="inlineStr">
        <is>
          <t>Dâmbovița</t>
        </is>
      </c>
      <c r="E168" t="inlineStr">
        <is>
          <t>66.02</t>
        </is>
      </c>
      <c r="F168" t="inlineStr">
        <is>
          <t>Sanatate</t>
        </is>
      </c>
      <c r="G168" t="n">
        <v>13043</v>
      </c>
      <c r="H168" t="n">
        <v>2.09</v>
      </c>
      <c r="I168" t="n">
        <v>194.77</v>
      </c>
      <c r="J168" t="inlineStr">
        <is>
          <t>Capitol prezent în topul verificat al municipiului; lista nu este exhaustivă.</t>
        </is>
      </c>
    </row>
    <row r="169">
      <c r="A169" t="n">
        <v>2025</v>
      </c>
      <c r="B169" t="inlineStr">
        <is>
          <t>77812</t>
        </is>
      </c>
      <c r="C169" t="inlineStr">
        <is>
          <t>Târgu Jiu</t>
        </is>
      </c>
      <c r="D169" t="inlineStr">
        <is>
          <t>Gorj</t>
        </is>
      </c>
      <c r="E169" t="inlineStr">
        <is>
          <t>70.02</t>
        </is>
      </c>
      <c r="F169" t="inlineStr">
        <is>
          <t>LOCUINTE, SERVICII SI DEZVOLTARE</t>
        </is>
      </c>
      <c r="G169" t="n">
        <v>276041.71</v>
      </c>
      <c r="H169" t="n">
        <v>58.5</v>
      </c>
      <c r="I169" t="n">
        <v>3753.37</v>
      </c>
      <c r="J169" t="inlineStr">
        <is>
          <t>Capitol prezent în topul verificat al municipiului; lista nu este exhaustivă.</t>
        </is>
      </c>
    </row>
    <row r="170">
      <c r="A170" t="n">
        <v>2025</v>
      </c>
      <c r="B170" t="inlineStr">
        <is>
          <t>77812</t>
        </is>
      </c>
      <c r="C170" t="inlineStr">
        <is>
          <t>Târgu Jiu</t>
        </is>
      </c>
      <c r="D170" t="inlineStr">
        <is>
          <t>Gorj</t>
        </is>
      </c>
      <c r="E170" t="inlineStr">
        <is>
          <t>65.02</t>
        </is>
      </c>
      <c r="F170" t="inlineStr">
        <is>
          <t>INVATAMANT</t>
        </is>
      </c>
      <c r="G170" t="n">
        <v>116671.44</v>
      </c>
      <c r="H170" t="n">
        <v>24.73</v>
      </c>
      <c r="I170" t="n">
        <v>1586.4</v>
      </c>
      <c r="J170" t="inlineStr">
        <is>
          <t>Capitol prezent în topul verificat al municipiului; lista nu este exhaustivă.</t>
        </is>
      </c>
    </row>
    <row r="171">
      <c r="A171" t="n">
        <v>2025</v>
      </c>
      <c r="B171" t="inlineStr">
        <is>
          <t>77812</t>
        </is>
      </c>
      <c r="C171" t="inlineStr">
        <is>
          <t>Târgu Jiu</t>
        </is>
      </c>
      <c r="D171" t="inlineStr">
        <is>
          <t>Gorj</t>
        </is>
      </c>
      <c r="E171" t="inlineStr">
        <is>
          <t>84.02</t>
        </is>
      </c>
      <c r="F171" t="inlineStr">
        <is>
          <t>TRANSPORTURI</t>
        </is>
      </c>
      <c r="G171" t="n">
        <v>103466.85</v>
      </c>
      <c r="H171" t="n">
        <v>21.93</v>
      </c>
      <c r="I171" t="n">
        <v>1406.85</v>
      </c>
      <c r="J171" t="inlineStr">
        <is>
          <t>Capitol prezent în topul verificat al municipiului; lista nu este exhaustivă.</t>
        </is>
      </c>
    </row>
    <row r="172">
      <c r="A172" t="n">
        <v>2025</v>
      </c>
      <c r="B172" t="inlineStr">
        <is>
          <t>77812</t>
        </is>
      </c>
      <c r="C172" t="inlineStr">
        <is>
          <t>Târgu Jiu</t>
        </is>
      </c>
      <c r="D172" t="inlineStr">
        <is>
          <t>Gorj</t>
        </is>
      </c>
      <c r="E172" t="inlineStr">
        <is>
          <t>67.02</t>
        </is>
      </c>
      <c r="F172" t="inlineStr">
        <is>
          <t>CULTURA, RECREERE SI RELIGIE</t>
        </is>
      </c>
      <c r="G172" t="n">
        <v>59638.41</v>
      </c>
      <c r="H172" t="n">
        <v>12.64</v>
      </c>
      <c r="I172" t="n">
        <v>810.91</v>
      </c>
      <c r="J172" t="inlineStr">
        <is>
          <t>Capitol prezent în topul verificat al municipiului; lista nu este exhaustivă.</t>
        </is>
      </c>
    </row>
    <row r="173">
      <c r="A173" t="n">
        <v>2025</v>
      </c>
      <c r="B173" t="inlineStr">
        <is>
          <t>77812</t>
        </is>
      </c>
      <c r="C173" t="inlineStr">
        <is>
          <t>Târgu Jiu</t>
        </is>
      </c>
      <c r="D173" t="inlineStr">
        <is>
          <t>Gorj</t>
        </is>
      </c>
      <c r="E173" t="inlineStr">
        <is>
          <t>68.02</t>
        </is>
      </c>
      <c r="F173" t="inlineStr">
        <is>
          <t>ASIGURARI SI ASISTENTA SOCIALA</t>
        </is>
      </c>
      <c r="G173" t="n">
        <v>58979.7</v>
      </c>
      <c r="H173" t="n">
        <v>12.5</v>
      </c>
      <c r="I173" t="n">
        <v>801.95</v>
      </c>
      <c r="J173" t="inlineStr">
        <is>
          <t>Capitol prezent în topul verificat al municipiului; lista nu este exhaustivă.</t>
        </is>
      </c>
    </row>
    <row r="174">
      <c r="A174" t="n">
        <v>2025</v>
      </c>
      <c r="B174" t="inlineStr">
        <is>
          <t>77812</t>
        </is>
      </c>
      <c r="C174" t="inlineStr">
        <is>
          <t>Târgu Jiu</t>
        </is>
      </c>
      <c r="D174" t="inlineStr">
        <is>
          <t>Gorj</t>
        </is>
      </c>
      <c r="E174" t="inlineStr">
        <is>
          <t>51.02</t>
        </is>
      </c>
      <c r="F174" t="inlineStr">
        <is>
          <t>AUTORITATI PUBLICE SI ACTIUNI EXTERNE</t>
        </is>
      </c>
      <c r="G174" t="n">
        <v>52664.23</v>
      </c>
      <c r="H174" t="n">
        <v>11.16</v>
      </c>
      <c r="I174" t="n">
        <v>716.08</v>
      </c>
      <c r="J174" t="inlineStr">
        <is>
          <t>Capitol prezent în topul verificat al municipiului; lista nu este exhaustivă.</t>
        </is>
      </c>
    </row>
    <row r="175">
      <c r="A175" t="n">
        <v>2025</v>
      </c>
      <c r="B175" t="inlineStr">
        <is>
          <t>77812</t>
        </is>
      </c>
      <c r="C175" t="inlineStr">
        <is>
          <t>Târgu Jiu</t>
        </is>
      </c>
      <c r="D175" t="inlineStr">
        <is>
          <t>Gorj</t>
        </is>
      </c>
      <c r="E175" t="inlineStr">
        <is>
          <t>74.02</t>
        </is>
      </c>
      <c r="F175" t="inlineStr">
        <is>
          <t>PROTECTIA MEDIULUI</t>
        </is>
      </c>
      <c r="G175" t="n">
        <v>33490.18</v>
      </c>
      <c r="H175" t="n">
        <v>7.1</v>
      </c>
      <c r="I175" t="n">
        <v>455.37</v>
      </c>
      <c r="J175" t="inlineStr">
        <is>
          <t>Capitol prezent în topul verificat al municipiului; lista nu este exhaustivă.</t>
        </is>
      </c>
    </row>
    <row r="176">
      <c r="A176" t="n">
        <v>2025</v>
      </c>
      <c r="B176" t="inlineStr">
        <is>
          <t>77812</t>
        </is>
      </c>
      <c r="C176" t="inlineStr">
        <is>
          <t>Târgu Jiu</t>
        </is>
      </c>
      <c r="D176" t="inlineStr">
        <is>
          <t>Gorj</t>
        </is>
      </c>
      <c r="E176" t="inlineStr">
        <is>
          <t>67.10</t>
        </is>
      </c>
      <c r="F176" t="inlineStr">
        <is>
          <t>CULTURA, RECREERE SI RELIGIE</t>
        </is>
      </c>
      <c r="G176" t="n">
        <v>23523.58</v>
      </c>
      <c r="H176" t="n">
        <v>4.99</v>
      </c>
      <c r="I176" t="n">
        <v>319.85</v>
      </c>
      <c r="J176" t="inlineStr">
        <is>
          <t>Capitol prezent în topul verificat al municipiului; lista nu este exhaustivă.</t>
        </is>
      </c>
    </row>
    <row r="177">
      <c r="A177" t="n">
        <v>2025</v>
      </c>
      <c r="B177" t="inlineStr">
        <is>
          <t>77812</t>
        </is>
      </c>
      <c r="C177" t="inlineStr">
        <is>
          <t>Târgu Jiu</t>
        </is>
      </c>
      <c r="D177" t="inlineStr">
        <is>
          <t>Gorj</t>
        </is>
      </c>
      <c r="E177" t="inlineStr">
        <is>
          <t>61.02</t>
        </is>
      </c>
      <c r="F177" t="inlineStr">
        <is>
          <t>ORDINE PUBLICA SI SIGURANTA NATIONALA</t>
        </is>
      </c>
      <c r="G177" t="n">
        <v>18760.33</v>
      </c>
      <c r="H177" t="n">
        <v>3.98</v>
      </c>
      <c r="I177" t="n">
        <v>255.09</v>
      </c>
      <c r="J177" t="inlineStr">
        <is>
          <t>Capitol prezent în topul verificat al municipiului; lista nu este exhaustivă.</t>
        </is>
      </c>
    </row>
    <row r="178">
      <c r="A178" t="n">
        <v>2025</v>
      </c>
      <c r="B178" t="inlineStr">
        <is>
          <t>77812</t>
        </is>
      </c>
      <c r="C178" t="inlineStr">
        <is>
          <t>Târgu Jiu</t>
        </is>
      </c>
      <c r="D178" t="inlineStr">
        <is>
          <t>Gorj</t>
        </is>
      </c>
      <c r="E178" t="inlineStr">
        <is>
          <t>66.02</t>
        </is>
      </c>
      <c r="F178" t="inlineStr">
        <is>
          <t>SANATATE</t>
        </is>
      </c>
      <c r="G178" t="n">
        <v>12924.54</v>
      </c>
      <c r="H178" t="n">
        <v>2.74</v>
      </c>
      <c r="I178" t="n">
        <v>175.74</v>
      </c>
      <c r="J178" t="inlineStr">
        <is>
          <t>Capitol prezent în topul verificat al municipiului; lista nu este exhaustivă.</t>
        </is>
      </c>
    </row>
    <row r="179">
      <c r="A179" t="n">
        <v>2025</v>
      </c>
      <c r="B179" t="inlineStr">
        <is>
          <t>86687</t>
        </is>
      </c>
      <c r="C179" t="inlineStr">
        <is>
          <t>Deva</t>
        </is>
      </c>
      <c r="D179" t="inlineStr">
        <is>
          <t>Hunedoara</t>
        </is>
      </c>
      <c r="E179" t="inlineStr">
        <is>
          <t>60.02</t>
        </is>
      </c>
      <c r="F179" t="inlineStr">
        <is>
          <t>CHELTUIELILE SECTIUNII DE DEZVOLTARE (5002+5902+6302+6902+7902</t>
        </is>
      </c>
      <c r="G179" t="n">
        <v>246561.6</v>
      </c>
      <c r="H179" t="n">
        <v>50.3</v>
      </c>
      <c r="I179" t="n">
        <v>4642.21</v>
      </c>
      <c r="J179" t="inlineStr">
        <is>
          <t>Capitol prezent în topul verificat al municipiului; lista nu este exhaustivă.</t>
        </is>
      </c>
    </row>
    <row r="180">
      <c r="A180" t="n">
        <v>2025</v>
      </c>
      <c r="B180" t="inlineStr">
        <is>
          <t>86687</t>
        </is>
      </c>
      <c r="C180" t="inlineStr">
        <is>
          <t>Deva</t>
        </is>
      </c>
      <c r="D180" t="inlineStr">
        <is>
          <t>Hunedoara</t>
        </is>
      </c>
      <c r="E180" t="inlineStr">
        <is>
          <t>70.02</t>
        </is>
      </c>
      <c r="F180" t="inlineStr">
        <is>
          <t>Locuinte, servicii si dezvoltare publica</t>
        </is>
      </c>
      <c r="G180" t="n">
        <v>94777.25</v>
      </c>
      <c r="H180" t="n">
        <v>19.33</v>
      </c>
      <c r="I180" t="n">
        <v>1784.45</v>
      </c>
      <c r="J180" t="inlineStr">
        <is>
          <t>Capitol prezent în topul verificat al municipiului; lista nu este exhaustivă.</t>
        </is>
      </c>
    </row>
    <row r="181">
      <c r="A181" t="n">
        <v>2025</v>
      </c>
      <c r="B181" t="inlineStr">
        <is>
          <t>86687</t>
        </is>
      </c>
      <c r="C181" t="inlineStr">
        <is>
          <t>Deva</t>
        </is>
      </c>
      <c r="D181" t="inlineStr">
        <is>
          <t>Hunedoara</t>
        </is>
      </c>
      <c r="E181" t="inlineStr">
        <is>
          <t>65.02</t>
        </is>
      </c>
      <c r="F181" t="inlineStr">
        <is>
          <t>INVATAMANT</t>
        </is>
      </c>
      <c r="G181" t="n">
        <v>94133.28999999999</v>
      </c>
      <c r="H181" t="n">
        <v>19.2</v>
      </c>
      <c r="I181" t="n">
        <v>1772.32</v>
      </c>
      <c r="J181" t="inlineStr">
        <is>
          <t>Capitol prezent în topul verificat al municipiului; lista nu este exhaustivă.</t>
        </is>
      </c>
    </row>
    <row r="182">
      <c r="A182" t="n">
        <v>2025</v>
      </c>
      <c r="B182" t="inlineStr">
        <is>
          <t>86687</t>
        </is>
      </c>
      <c r="C182" t="inlineStr">
        <is>
          <t>Deva</t>
        </is>
      </c>
      <c r="D182" t="inlineStr">
        <is>
          <t>Hunedoara</t>
        </is>
      </c>
      <c r="E182" t="inlineStr">
        <is>
          <t>68.02</t>
        </is>
      </c>
      <c r="F182" t="inlineStr">
        <is>
          <t>ASIGURARI SI ASISTENTA SOCIALA</t>
        </is>
      </c>
      <c r="G182" t="n">
        <v>50493.46</v>
      </c>
      <c r="H182" t="n">
        <v>10.3</v>
      </c>
      <c r="I182" t="n">
        <v>950.6799999999999</v>
      </c>
      <c r="J182" t="inlineStr">
        <is>
          <t>Capitol prezent în topul verificat al municipiului; lista nu este exhaustivă.</t>
        </is>
      </c>
    </row>
    <row r="183">
      <c r="A183" t="n">
        <v>2025</v>
      </c>
      <c r="B183" t="inlineStr">
        <is>
          <t>86687</t>
        </is>
      </c>
      <c r="C183" t="inlineStr">
        <is>
          <t>Deva</t>
        </is>
      </c>
      <c r="D183" t="inlineStr">
        <is>
          <t>Hunedoara</t>
        </is>
      </c>
      <c r="E183" t="inlineStr">
        <is>
          <t>67.02</t>
        </is>
      </c>
      <c r="F183" t="inlineStr">
        <is>
          <t>Cultura, recreere si religie</t>
        </is>
      </c>
      <c r="G183" t="n">
        <v>46135.74</v>
      </c>
      <c r="H183" t="n">
        <v>9.41</v>
      </c>
      <c r="I183" t="n">
        <v>868.63</v>
      </c>
      <c r="J183" t="inlineStr">
        <is>
          <t>Capitol prezent în topul verificat al municipiului; lista nu este exhaustivă.</t>
        </is>
      </c>
    </row>
    <row r="184">
      <c r="A184" t="n">
        <v>2025</v>
      </c>
      <c r="B184" t="inlineStr">
        <is>
          <t>86687</t>
        </is>
      </c>
      <c r="C184" t="inlineStr">
        <is>
          <t>Deva</t>
        </is>
      </c>
      <c r="D184" t="inlineStr">
        <is>
          <t>Hunedoara</t>
        </is>
      </c>
      <c r="E184" t="inlineStr">
        <is>
          <t>74.02</t>
        </is>
      </c>
      <c r="F184" t="inlineStr">
        <is>
          <t>Protectia mediului</t>
        </is>
      </c>
      <c r="G184" t="n">
        <v>37115.95</v>
      </c>
      <c r="H184" t="n">
        <v>7.57</v>
      </c>
      <c r="I184" t="n">
        <v>698.8099999999999</v>
      </c>
      <c r="J184" t="inlineStr">
        <is>
          <t>Capitol prezent în topul verificat al municipiului; lista nu este exhaustivă.</t>
        </is>
      </c>
    </row>
    <row r="185">
      <c r="A185" t="n">
        <v>2025</v>
      </c>
      <c r="B185" t="inlineStr">
        <is>
          <t>86687</t>
        </is>
      </c>
      <c r="C185" t="inlineStr">
        <is>
          <t>Deva</t>
        </is>
      </c>
      <c r="D185" t="inlineStr">
        <is>
          <t>Hunedoara</t>
        </is>
      </c>
      <c r="E185" t="inlineStr">
        <is>
          <t>51.02</t>
        </is>
      </c>
      <c r="F185" t="inlineStr">
        <is>
          <t>AUTORITATI PUBLICE SI ACTIUNI</t>
        </is>
      </c>
      <c r="G185" t="n">
        <v>35714.41</v>
      </c>
      <c r="H185" t="n">
        <v>7.29</v>
      </c>
      <c r="I185" t="n">
        <v>672.42</v>
      </c>
      <c r="J185" t="inlineStr">
        <is>
          <t>Capitol prezent în topul verificat al municipiului; lista nu este exhaustivă.</t>
        </is>
      </c>
    </row>
    <row r="186">
      <c r="A186" t="n">
        <v>2025</v>
      </c>
      <c r="B186" t="inlineStr">
        <is>
          <t>86687</t>
        </is>
      </c>
      <c r="C186" t="inlineStr">
        <is>
          <t>Deva</t>
        </is>
      </c>
      <c r="D186" t="inlineStr">
        <is>
          <t>Hunedoara</t>
        </is>
      </c>
      <c r="E186" t="inlineStr">
        <is>
          <t>84.02</t>
        </is>
      </c>
      <c r="F186" t="inlineStr">
        <is>
          <t>Transporturi</t>
        </is>
      </c>
      <c r="G186" t="n">
        <v>33000.95</v>
      </c>
      <c r="H186" t="n">
        <v>6.73</v>
      </c>
      <c r="I186" t="n">
        <v>621.33</v>
      </c>
      <c r="J186" t="inlineStr">
        <is>
          <t>Capitol prezent în topul verificat al municipiului; lista nu este exhaustivă.</t>
        </is>
      </c>
    </row>
    <row r="187">
      <c r="A187" t="n">
        <v>2025</v>
      </c>
      <c r="B187" t="inlineStr">
        <is>
          <t>86687</t>
        </is>
      </c>
      <c r="C187" t="inlineStr">
        <is>
          <t>Deva</t>
        </is>
      </c>
      <c r="D187" t="inlineStr">
        <is>
          <t>Hunedoara</t>
        </is>
      </c>
      <c r="E187" t="inlineStr">
        <is>
          <t>61.02</t>
        </is>
      </c>
      <c r="F187" t="inlineStr">
        <is>
          <t>ORDINE PUBLICA SI SIGURANTA</t>
        </is>
      </c>
      <c r="G187" t="n">
        <v>12751.79</v>
      </c>
      <c r="H187" t="n">
        <v>2.6</v>
      </c>
      <c r="I187" t="n">
        <v>240.09</v>
      </c>
      <c r="J187" t="inlineStr">
        <is>
          <t>Capitol prezent în topul verificat al municipiului; lista nu este exhaustivă.</t>
        </is>
      </c>
    </row>
    <row r="188">
      <c r="A188" t="n">
        <v>2025</v>
      </c>
      <c r="B188" t="inlineStr">
        <is>
          <t>86687</t>
        </is>
      </c>
      <c r="C188" t="inlineStr">
        <is>
          <t>Deva</t>
        </is>
      </c>
      <c r="D188" t="inlineStr">
        <is>
          <t>Hunedoara</t>
        </is>
      </c>
      <c r="E188" t="inlineStr">
        <is>
          <t>67.10</t>
        </is>
      </c>
      <c r="F188" t="inlineStr">
        <is>
          <t>CULTURA, RECREERE SI RELIGIE</t>
        </is>
      </c>
      <c r="G188" t="n">
        <v>11196.12</v>
      </c>
      <c r="H188" t="n">
        <v>2.28</v>
      </c>
      <c r="I188" t="n">
        <v>210.8</v>
      </c>
      <c r="J188" t="inlineStr">
        <is>
          <t>Capitol prezent în topul verificat al municipiului; lista nu este exhaustivă.</t>
        </is>
      </c>
    </row>
    <row r="189">
      <c r="A189" t="n">
        <v>2025</v>
      </c>
      <c r="B189" t="inlineStr">
        <is>
          <t>106318</t>
        </is>
      </c>
      <c r="C189" t="inlineStr">
        <is>
          <t>Baia Mare</t>
        </is>
      </c>
      <c r="D189" t="inlineStr">
        <is>
          <t>Maramureș</t>
        </is>
      </c>
      <c r="E189" t="inlineStr">
        <is>
          <t>65.02</t>
        </is>
      </c>
      <c r="F189" t="inlineStr">
        <is>
          <t>Invatamant</t>
        </is>
      </c>
      <c r="G189" t="n">
        <v>262429.17</v>
      </c>
      <c r="H189" t="n">
        <v>68.28</v>
      </c>
      <c r="I189" t="n">
        <v>2412.94</v>
      </c>
      <c r="J189" t="inlineStr">
        <is>
          <t>Capitol prezent în topul verificat al municipiului; lista nu este exhaustivă.</t>
        </is>
      </c>
    </row>
    <row r="190">
      <c r="A190" t="n">
        <v>2025</v>
      </c>
      <c r="B190" t="inlineStr">
        <is>
          <t>106318</t>
        </is>
      </c>
      <c r="C190" t="inlineStr">
        <is>
          <t>Baia Mare</t>
        </is>
      </c>
      <c r="D190" t="inlineStr">
        <is>
          <t>Maramureș</t>
        </is>
      </c>
      <c r="E190" t="inlineStr">
        <is>
          <t>70.02</t>
        </is>
      </c>
      <c r="F190" t="inlineStr">
        <is>
          <t>Locuinte, servicãi si dezveltare pubica</t>
        </is>
      </c>
      <c r="G190" t="n">
        <v>210229.72</v>
      </c>
      <c r="H190" t="n">
        <v>54.7</v>
      </c>
      <c r="I190" t="n">
        <v>1932.99</v>
      </c>
      <c r="J190" t="inlineStr">
        <is>
          <t>Capitol prezent în topul verificat al municipiului; lista nu este exhaustivă.</t>
        </is>
      </c>
    </row>
    <row r="191">
      <c r="A191" t="n">
        <v>2025</v>
      </c>
      <c r="B191" t="inlineStr">
        <is>
          <t>106318</t>
        </is>
      </c>
      <c r="C191" t="inlineStr">
        <is>
          <t>Baia Mare</t>
        </is>
      </c>
      <c r="D191" t="inlineStr">
        <is>
          <t>Maramureș</t>
        </is>
      </c>
      <c r="E191" t="inlineStr">
        <is>
          <t>00.10</t>
        </is>
      </c>
      <c r="F191" t="inlineStr">
        <is>
          <t>Partes H-a SERVICI PUBLICE GENERALE</t>
        </is>
      </c>
      <c r="G191" t="n">
        <v>137697.45</v>
      </c>
      <c r="H191" t="n">
        <v>35.83</v>
      </c>
      <c r="I191" t="n">
        <v>1266.08</v>
      </c>
      <c r="J191" t="inlineStr">
        <is>
          <t>Capitol prezent în topul verificat al municipiului; lista nu este exhaustivă.</t>
        </is>
      </c>
    </row>
    <row r="192">
      <c r="A192" t="n">
        <v>2025</v>
      </c>
      <c r="B192" t="inlineStr">
        <is>
          <t>106318</t>
        </is>
      </c>
      <c r="C192" t="inlineStr">
        <is>
          <t>Baia Mare</t>
        </is>
      </c>
      <c r="D192" t="inlineStr">
        <is>
          <t>Maramureș</t>
        </is>
      </c>
      <c r="E192" t="inlineStr">
        <is>
          <t>74.02</t>
        </is>
      </c>
      <c r="F192" t="inlineStr">
        <is>
          <t>Protectia mediulul</t>
        </is>
      </c>
      <c r="G192" t="n">
        <v>135844.38</v>
      </c>
      <c r="H192" t="n">
        <v>35.35</v>
      </c>
      <c r="I192" t="n">
        <v>1249.04</v>
      </c>
      <c r="J192" t="inlineStr">
        <is>
          <t>Capitol prezent în topul verificat al municipiului; lista nu este exhaustivă.</t>
        </is>
      </c>
    </row>
    <row r="193">
      <c r="A193" t="n">
        <v>2025</v>
      </c>
      <c r="B193" t="inlineStr">
        <is>
          <t>106318</t>
        </is>
      </c>
      <c r="C193" t="inlineStr">
        <is>
          <t>Baia Mare</t>
        </is>
      </c>
      <c r="D193" t="inlineStr">
        <is>
          <t>Maramureș</t>
        </is>
      </c>
      <c r="E193" t="inlineStr">
        <is>
          <t>84.02</t>
        </is>
      </c>
      <c r="F193" t="inlineStr">
        <is>
          <t>Transporturi</t>
        </is>
      </c>
      <c r="G193" t="n">
        <v>129018.41</v>
      </c>
      <c r="H193" t="n">
        <v>33.57</v>
      </c>
      <c r="I193" t="n">
        <v>1186.28</v>
      </c>
      <c r="J193" t="inlineStr">
        <is>
          <t>Capitol prezent în topul verificat al municipiului; lista nu este exhaustivă.</t>
        </is>
      </c>
    </row>
    <row r="194">
      <c r="A194" t="n">
        <v>2025</v>
      </c>
      <c r="B194" t="inlineStr">
        <is>
          <t>106318</t>
        </is>
      </c>
      <c r="C194" t="inlineStr">
        <is>
          <t>Baia Mare</t>
        </is>
      </c>
      <c r="D194" t="inlineStr">
        <is>
          <t>Maramureș</t>
        </is>
      </c>
      <c r="E194" t="inlineStr">
        <is>
          <t>68.02</t>
        </is>
      </c>
      <c r="F194" t="inlineStr">
        <is>
          <t>Asigurarí si asistenta sociala</t>
        </is>
      </c>
      <c r="G194" t="n">
        <v>118785</v>
      </c>
      <c r="H194" t="n">
        <v>30.91</v>
      </c>
      <c r="I194" t="n">
        <v>1092.19</v>
      </c>
      <c r="J194" t="inlineStr">
        <is>
          <t>Capitol prezent în topul verificat al municipiului; lista nu este exhaustivă.</t>
        </is>
      </c>
    </row>
    <row r="195">
      <c r="A195" t="n">
        <v>2025</v>
      </c>
      <c r="B195" t="inlineStr">
        <is>
          <t>106318</t>
        </is>
      </c>
      <c r="C195" t="inlineStr">
        <is>
          <t>Baia Mare</t>
        </is>
      </c>
      <c r="D195" t="inlineStr">
        <is>
          <t>Maramureș</t>
        </is>
      </c>
      <c r="E195" t="inlineStr">
        <is>
          <t>66.10</t>
        </is>
      </c>
      <c r="F195" t="inlineStr">
        <is>
          <t>Sanatate</t>
        </is>
      </c>
      <c r="G195" t="n">
        <v>77945</v>
      </c>
      <c r="H195" t="n">
        <v>20.28</v>
      </c>
      <c r="I195" t="n">
        <v>716.6799999999999</v>
      </c>
      <c r="J195" t="inlineStr">
        <is>
          <t>Capitol prezent în topul verificat al municipiului; lista nu este exhaustivă.</t>
        </is>
      </c>
    </row>
    <row r="196">
      <c r="A196" t="n">
        <v>2025</v>
      </c>
      <c r="B196" t="inlineStr">
        <is>
          <t>106318</t>
        </is>
      </c>
      <c r="C196" t="inlineStr">
        <is>
          <t>Baia Mare</t>
        </is>
      </c>
      <c r="D196" t="inlineStr">
        <is>
          <t>Maramureș</t>
        </is>
      </c>
      <c r="E196" t="inlineStr">
        <is>
          <t>51.02</t>
        </is>
      </c>
      <c r="F196" t="inlineStr">
        <is>
          <t>Autoritati publice si actiuri exteme</t>
        </is>
      </c>
      <c r="G196" t="n">
        <v>50400</v>
      </c>
      <c r="H196" t="n">
        <v>13.11</v>
      </c>
      <c r="I196" t="n">
        <v>463.41</v>
      </c>
      <c r="J196" t="inlineStr">
        <is>
          <t>Capitol prezent în topul verificat al municipiului; lista nu este exhaustivă.</t>
        </is>
      </c>
    </row>
    <row r="197">
      <c r="A197" t="n">
        <v>2025</v>
      </c>
      <c r="B197" t="inlineStr">
        <is>
          <t>106318</t>
        </is>
      </c>
      <c r="C197" t="inlineStr">
        <is>
          <t>Baia Mare</t>
        </is>
      </c>
      <c r="D197" t="inlineStr">
        <is>
          <t>Maramureș</t>
        </is>
      </c>
      <c r="E197" t="inlineStr">
        <is>
          <t>66.02</t>
        </is>
      </c>
      <c r="F197" t="inlineStr">
        <is>
          <t>Sanatate</t>
        </is>
      </c>
      <c r="G197" t="n">
        <v>42389</v>
      </c>
      <c r="H197" t="n">
        <v>11.03</v>
      </c>
      <c r="I197" t="n">
        <v>389.75</v>
      </c>
      <c r="J197" t="inlineStr">
        <is>
          <t>Capitol prezent în topul verificat al municipiului; lista nu este exhaustivă.</t>
        </is>
      </c>
    </row>
    <row r="198">
      <c r="A198" t="n">
        <v>2025</v>
      </c>
      <c r="B198" t="inlineStr">
        <is>
          <t>106318</t>
        </is>
      </c>
      <c r="C198" t="inlineStr">
        <is>
          <t>Baia Mare</t>
        </is>
      </c>
      <c r="D198" t="inlineStr">
        <is>
          <t>Maramureș</t>
        </is>
      </c>
      <c r="E198" t="inlineStr">
        <is>
          <t>67.02</t>
        </is>
      </c>
      <c r="F198" t="inlineStr">
        <is>
          <t>Cultura, recreere si religie</t>
        </is>
      </c>
      <c r="G198" t="n">
        <v>29609.25</v>
      </c>
      <c r="H198" t="n">
        <v>7.7</v>
      </c>
      <c r="I198" t="n">
        <v>272.25</v>
      </c>
      <c r="J198" t="inlineStr">
        <is>
          <t>Capitol prezent în topul verificat al municipiului; lista nu este exhaustivă.</t>
        </is>
      </c>
    </row>
    <row r="199">
      <c r="A199" t="n">
        <v>2025</v>
      </c>
      <c r="B199" t="inlineStr">
        <is>
          <t>151790</t>
        </is>
      </c>
      <c r="C199" t="inlineStr">
        <is>
          <t>Alexandria</t>
        </is>
      </c>
      <c r="D199" t="inlineStr">
        <is>
          <t>Teleorman</t>
        </is>
      </c>
      <c r="E199" t="inlineStr">
        <is>
          <t>70.02</t>
        </is>
      </c>
      <c r="F199" t="inlineStr">
        <is>
          <t>LOCUINTE, SERVICII SI DEZVOLTARE</t>
        </is>
      </c>
      <c r="G199" t="n">
        <v>134383.9</v>
      </c>
      <c r="H199" t="n">
        <v>37.44</v>
      </c>
      <c r="I199" t="n">
        <v>3327.16</v>
      </c>
      <c r="J199" t="inlineStr">
        <is>
          <t>Capitol prezent în topul verificat al municipiului; lista nu este exhaustivă.</t>
        </is>
      </c>
    </row>
    <row r="200">
      <c r="A200" t="n">
        <v>2025</v>
      </c>
      <c r="B200" t="inlineStr">
        <is>
          <t>151790</t>
        </is>
      </c>
      <c r="C200" t="inlineStr">
        <is>
          <t>Alexandria</t>
        </is>
      </c>
      <c r="D200" t="inlineStr">
        <is>
          <t>Teleorman</t>
        </is>
      </c>
      <c r="E200" t="inlineStr">
        <is>
          <t>84.02</t>
        </is>
      </c>
      <c r="F200" t="inlineStr">
        <is>
          <t>TRANSPORTURI</t>
        </is>
      </c>
      <c r="G200" t="n">
        <v>92544.17999999999</v>
      </c>
      <c r="H200" t="n">
        <v>25.79</v>
      </c>
      <c r="I200" t="n">
        <v>2291.26</v>
      </c>
      <c r="J200" t="inlineStr">
        <is>
          <t>Capitol prezent în topul verificat al municipiului; lista nu este exhaustivă.</t>
        </is>
      </c>
    </row>
    <row r="201">
      <c r="A201" t="n">
        <v>2025</v>
      </c>
      <c r="B201" t="inlineStr">
        <is>
          <t>151790</t>
        </is>
      </c>
      <c r="C201" t="inlineStr">
        <is>
          <t>Alexandria</t>
        </is>
      </c>
      <c r="D201" t="inlineStr">
        <is>
          <t>Teleorman</t>
        </is>
      </c>
      <c r="E201" t="inlineStr">
        <is>
          <t>68.02</t>
        </is>
      </c>
      <c r="F201" t="inlineStr">
        <is>
          <t>ASIGURARI SI ASISTENTA SOCIALA</t>
        </is>
      </c>
      <c r="G201" t="n">
        <v>31049.41</v>
      </c>
      <c r="H201" t="n">
        <v>8.65</v>
      </c>
      <c r="I201" t="n">
        <v>768.74</v>
      </c>
      <c r="J201" t="inlineStr">
        <is>
          <t>Capitol prezent în topul verificat al municipiului; lista nu este exhaustivă.</t>
        </is>
      </c>
    </row>
    <row r="202">
      <c r="A202" t="n">
        <v>2025</v>
      </c>
      <c r="B202" t="inlineStr">
        <is>
          <t>151790</t>
        </is>
      </c>
      <c r="C202" t="inlineStr">
        <is>
          <t>Alexandria</t>
        </is>
      </c>
      <c r="D202" t="inlineStr">
        <is>
          <t>Teleorman</t>
        </is>
      </c>
      <c r="E202" t="inlineStr">
        <is>
          <t>65.02</t>
        </is>
      </c>
      <c r="F202" t="inlineStr">
        <is>
          <t>INVATAMANT</t>
        </is>
      </c>
      <c r="G202" t="n">
        <v>30818.07</v>
      </c>
      <c r="H202" t="n">
        <v>8.59</v>
      </c>
      <c r="I202" t="n">
        <v>763.01</v>
      </c>
      <c r="J202" t="inlineStr">
        <is>
          <t>Capitol prezent în topul verificat al municipiului; lista nu este exhaustivă.</t>
        </is>
      </c>
    </row>
    <row r="203">
      <c r="A203" t="n">
        <v>2025</v>
      </c>
      <c r="B203" t="inlineStr">
        <is>
          <t>151790</t>
        </is>
      </c>
      <c r="C203" t="inlineStr">
        <is>
          <t>Alexandria</t>
        </is>
      </c>
      <c r="D203" t="inlineStr">
        <is>
          <t>Teleorman</t>
        </is>
      </c>
      <c r="E203" t="inlineStr">
        <is>
          <t>51.02</t>
        </is>
      </c>
      <c r="F203" t="inlineStr">
        <is>
          <t>AUTORITATI PUBLICE SI ACTIUNI EXTERNE</t>
        </is>
      </c>
      <c r="G203" t="n">
        <v>18987.4</v>
      </c>
      <c r="H203" t="n">
        <v>5.29</v>
      </c>
      <c r="I203" t="n">
        <v>470.1</v>
      </c>
      <c r="J203" t="inlineStr">
        <is>
          <t>Capitol prezent în topul verificat al municipiului; lista nu este exhaustivă.</t>
        </is>
      </c>
    </row>
    <row r="204">
      <c r="A204" t="n">
        <v>2025</v>
      </c>
      <c r="B204" t="inlineStr">
        <is>
          <t>151790</t>
        </is>
      </c>
      <c r="C204" t="inlineStr">
        <is>
          <t>Alexandria</t>
        </is>
      </c>
      <c r="D204" t="inlineStr">
        <is>
          <t>Teleorman</t>
        </is>
      </c>
      <c r="E204" t="inlineStr">
        <is>
          <t>67.02</t>
        </is>
      </c>
      <c r="F204" t="inlineStr">
        <is>
          <t>CULTURA, RECREERE SI RELIGIE</t>
        </is>
      </c>
      <c r="G204" t="n">
        <v>16359.72</v>
      </c>
      <c r="H204" t="n">
        <v>4.56</v>
      </c>
      <c r="I204" t="n">
        <v>405.04</v>
      </c>
      <c r="J204" t="inlineStr">
        <is>
          <t>Capitol prezent în topul verificat al municipiului; lista nu este exhaustivă.</t>
        </is>
      </c>
    </row>
    <row r="205">
      <c r="A205" t="n">
        <v>2025</v>
      </c>
      <c r="B205" t="inlineStr">
        <is>
          <t>151790</t>
        </is>
      </c>
      <c r="C205" t="inlineStr">
        <is>
          <t>Alexandria</t>
        </is>
      </c>
      <c r="D205" t="inlineStr">
        <is>
          <t>Teleorman</t>
        </is>
      </c>
      <c r="E205" t="inlineStr">
        <is>
          <t>74.02</t>
        </is>
      </c>
      <c r="F205" t="inlineStr">
        <is>
          <t>PROTECTIA MEDIULUI</t>
        </is>
      </c>
      <c r="G205" t="n">
        <v>14280</v>
      </c>
      <c r="H205" t="n">
        <v>3.98</v>
      </c>
      <c r="I205" t="n">
        <v>353.55</v>
      </c>
      <c r="J205" t="inlineStr">
        <is>
          <t>Capitol prezent în topul verificat al municipiului; lista nu este exhaustivă.</t>
        </is>
      </c>
    </row>
    <row r="206">
      <c r="A206" t="n">
        <v>2025</v>
      </c>
      <c r="B206" t="inlineStr">
        <is>
          <t>151790</t>
        </is>
      </c>
      <c r="C206" t="inlineStr">
        <is>
          <t>Alexandria</t>
        </is>
      </c>
      <c r="D206" t="inlineStr">
        <is>
          <t>Teleorman</t>
        </is>
      </c>
      <c r="E206" t="inlineStr">
        <is>
          <t>54.02</t>
        </is>
      </c>
      <c r="F206" t="inlineStr">
        <is>
          <t>ALTE SERVICII PUBLICE GENERALE</t>
        </is>
      </c>
      <c r="G206" t="n">
        <v>7690.71</v>
      </c>
      <c r="H206" t="n">
        <v>2.14</v>
      </c>
      <c r="I206" t="n">
        <v>190.41</v>
      </c>
      <c r="J206" t="inlineStr">
        <is>
          <t>Capitol prezent în topul verificat al municipiului; lista nu este exhaustivă.</t>
        </is>
      </c>
    </row>
    <row r="207">
      <c r="A207" t="n">
        <v>2025</v>
      </c>
      <c r="B207" t="inlineStr">
        <is>
          <t>151790</t>
        </is>
      </c>
      <c r="C207" t="inlineStr">
        <is>
          <t>Alexandria</t>
        </is>
      </c>
      <c r="D207" t="inlineStr">
        <is>
          <t>Teleorman</t>
        </is>
      </c>
      <c r="E207" t="inlineStr">
        <is>
          <t>66.02</t>
        </is>
      </c>
      <c r="F207" t="inlineStr">
        <is>
          <t>SANATATE</t>
        </is>
      </c>
      <c r="G207" t="n">
        <v>6130</v>
      </c>
      <c r="H207" t="n">
        <v>1.71</v>
      </c>
      <c r="I207" t="n">
        <v>151.77</v>
      </c>
      <c r="J207" t="inlineStr">
        <is>
          <t>Capitol prezent în topul verificat al municipiului; lista nu este exhaustivă.</t>
        </is>
      </c>
    </row>
    <row r="208">
      <c r="A208" t="n">
        <v>2025</v>
      </c>
      <c r="B208" t="inlineStr">
        <is>
          <t>151790</t>
        </is>
      </c>
      <c r="C208" t="inlineStr">
        <is>
          <t>Alexandria</t>
        </is>
      </c>
      <c r="D208" t="inlineStr">
        <is>
          <t>Teleorman</t>
        </is>
      </c>
      <c r="E208" t="inlineStr">
        <is>
          <t>61.02</t>
        </is>
      </c>
      <c r="F208" t="inlineStr">
        <is>
          <t>ORDINE PUBLICA SI SIGURANTA NATIONALA</t>
        </is>
      </c>
      <c r="G208" t="n">
        <v>4945.4</v>
      </c>
      <c r="H208" t="n">
        <v>1.38</v>
      </c>
      <c r="I208" t="n">
        <v>122.44</v>
      </c>
      <c r="J208" t="inlineStr">
        <is>
          <t>Capitol prezent în topul verificat al municipiului; lista nu este exhaustivă.</t>
        </is>
      </c>
    </row>
    <row r="209">
      <c r="A209" t="n">
        <v>2025</v>
      </c>
      <c r="B209" t="inlineStr">
        <is>
          <t>161945</t>
        </is>
      </c>
      <c r="C209" t="inlineStr">
        <is>
          <t>Vaslui</t>
        </is>
      </c>
      <c r="D209" t="inlineStr">
        <is>
          <t>Vaslui</t>
        </is>
      </c>
      <c r="E209" t="inlineStr">
        <is>
          <t>84.02</t>
        </is>
      </c>
      <c r="F209" t="inlineStr">
        <is>
          <t>Transporturi - din care titlurile:</t>
        </is>
      </c>
      <c r="G209" t="n">
        <v>147573746</v>
      </c>
      <c r="H209" t="n">
        <v>31828.99</v>
      </c>
      <c r="I209" t="n">
        <v>2341139.78</v>
      </c>
      <c r="J209" t="inlineStr">
        <is>
          <t>Capitol prezent în topul verificat al municipiului; lista nu este exhaustivă.</t>
        </is>
      </c>
    </row>
    <row r="210">
      <c r="A210" t="n">
        <v>2025</v>
      </c>
      <c r="B210" t="inlineStr">
        <is>
          <t>161945</t>
        </is>
      </c>
      <c r="C210" t="inlineStr">
        <is>
          <t>Vaslui</t>
        </is>
      </c>
      <c r="D210" t="inlineStr">
        <is>
          <t>Vaslui</t>
        </is>
      </c>
      <c r="E210" t="inlineStr">
        <is>
          <t>68.02</t>
        </is>
      </c>
      <c r="F210" t="inlineStr">
        <is>
          <t>Asigurări și asistență socială - din care titlurile:</t>
        </is>
      </c>
      <c r="G210" t="n">
        <v>53656617</v>
      </c>
      <c r="H210" t="n">
        <v>11572.76</v>
      </c>
      <c r="I210" t="n">
        <v>851219.4300000001</v>
      </c>
      <c r="J210" t="inlineStr">
        <is>
          <t>Capitol prezent în topul verificat al municipiului; lista nu este exhaustivă.</t>
        </is>
      </c>
    </row>
    <row r="211">
      <c r="A211" t="n">
        <v>2025</v>
      </c>
      <c r="B211" t="inlineStr">
        <is>
          <t>161945</t>
        </is>
      </c>
      <c r="C211" t="inlineStr">
        <is>
          <t>Vaslui</t>
        </is>
      </c>
      <c r="D211" t="inlineStr">
        <is>
          <t>Vaslui</t>
        </is>
      </c>
      <c r="E211" t="inlineStr">
        <is>
          <t>51.02</t>
        </is>
      </c>
      <c r="F211" t="inlineStr">
        <is>
          <t>Autorități publice și acțiuni externe - din care titlurile:</t>
        </is>
      </c>
      <c r="G211" t="n">
        <v>36055362</v>
      </c>
      <c r="H211" t="n">
        <v>7776.49</v>
      </c>
      <c r="I211" t="n">
        <v>571989.5600000001</v>
      </c>
      <c r="J211" t="inlineStr">
        <is>
          <t>Capitol prezent în topul verificat al municipiului; lista nu este exhaustivă.</t>
        </is>
      </c>
    </row>
    <row r="212">
      <c r="A212" t="n">
        <v>2025</v>
      </c>
      <c r="B212" t="inlineStr">
        <is>
          <t>161945</t>
        </is>
      </c>
      <c r="C212" t="inlineStr">
        <is>
          <t>Vaslui</t>
        </is>
      </c>
      <c r="D212" t="inlineStr">
        <is>
          <t>Vaslui</t>
        </is>
      </c>
      <c r="E212" t="inlineStr">
        <is>
          <t>74.02</t>
        </is>
      </c>
      <c r="F212" t="inlineStr">
        <is>
          <t>Protecția mediului - din care titlurile:</t>
        </is>
      </c>
      <c r="G212" t="n">
        <v>34262840</v>
      </c>
      <c r="H212" t="n">
        <v>7389.87</v>
      </c>
      <c r="I212" t="n">
        <v>543552.63</v>
      </c>
      <c r="J212" t="inlineStr">
        <is>
          <t>Capitol prezent în topul verificat al municipiului; lista nu este exhaustivă.</t>
        </is>
      </c>
    </row>
    <row r="213">
      <c r="A213" t="n">
        <v>2025</v>
      </c>
      <c r="B213" t="inlineStr">
        <is>
          <t>161945</t>
        </is>
      </c>
      <c r="C213" t="inlineStr">
        <is>
          <t>Vaslui</t>
        </is>
      </c>
      <c r="D213" t="inlineStr">
        <is>
          <t>Vaslui</t>
        </is>
      </c>
      <c r="E213" t="inlineStr">
        <is>
          <t>67.02</t>
        </is>
      </c>
      <c r="F213" t="inlineStr">
        <is>
          <t>Cultură, recreere și religie - din care titlurile:</t>
        </is>
      </c>
      <c r="G213" t="n">
        <v>31931886</v>
      </c>
      <c r="H213" t="n">
        <v>6887.13</v>
      </c>
      <c r="I213" t="n">
        <v>506573.9</v>
      </c>
      <c r="J213" t="inlineStr">
        <is>
          <t>Capitol prezent în topul verificat al municipiului; lista nu este exhaustivă.</t>
        </is>
      </c>
    </row>
    <row r="214">
      <c r="A214" t="n">
        <v>2025</v>
      </c>
      <c r="B214" t="inlineStr">
        <is>
          <t>161945</t>
        </is>
      </c>
      <c r="C214" t="inlineStr">
        <is>
          <t>Vaslui</t>
        </is>
      </c>
      <c r="D214" t="inlineStr">
        <is>
          <t>Vaslui</t>
        </is>
      </c>
      <c r="E214" t="inlineStr">
        <is>
          <t>65.02</t>
        </is>
      </c>
      <c r="F214" t="inlineStr">
        <is>
          <t>Învățământ - din care titlurile:</t>
        </is>
      </c>
      <c r="G214" t="n">
        <v>22595858</v>
      </c>
      <c r="H214" t="n">
        <v>4873.52</v>
      </c>
      <c r="I214" t="n">
        <v>358465.27</v>
      </c>
      <c r="J214" t="inlineStr">
        <is>
          <t>Capitol prezent în topul verificat al municipiului; lista nu este exhaustivă.</t>
        </is>
      </c>
    </row>
    <row r="215">
      <c r="A215" t="n">
        <v>2025</v>
      </c>
      <c r="B215" t="inlineStr">
        <is>
          <t>161945</t>
        </is>
      </c>
      <c r="C215" t="inlineStr">
        <is>
          <t>Vaslui</t>
        </is>
      </c>
      <c r="D215" t="inlineStr">
        <is>
          <t>Vaslui</t>
        </is>
      </c>
      <c r="E215" t="inlineStr">
        <is>
          <t>61.02</t>
        </is>
      </c>
      <c r="F215" t="inlineStr">
        <is>
          <t>Ordine publică și siguranță națională - din care titlurile:</t>
        </is>
      </c>
      <c r="G215" t="n">
        <v>14000542</v>
      </c>
      <c r="H215" t="n">
        <v>3019.66</v>
      </c>
      <c r="I215" t="n">
        <v>222107.43</v>
      </c>
      <c r="J215" t="inlineStr">
        <is>
          <t>Capitol prezent în topul verificat al municipiului; lista nu este exhaustivă.</t>
        </is>
      </c>
    </row>
    <row r="216">
      <c r="A216" t="n">
        <v>2025</v>
      </c>
      <c r="B216" t="inlineStr">
        <is>
          <t>161945</t>
        </is>
      </c>
      <c r="C216" t="inlineStr">
        <is>
          <t>Vaslui</t>
        </is>
      </c>
      <c r="D216" t="inlineStr">
        <is>
          <t>Vaslui</t>
        </is>
      </c>
      <c r="E216" t="inlineStr">
        <is>
          <t>70.02</t>
        </is>
      </c>
      <c r="F216" t="inlineStr">
        <is>
          <t>Locuințe, servicii și dezvoltare publică - din care titlurile:</t>
        </is>
      </c>
      <c r="G216" t="n">
        <v>13459194</v>
      </c>
      <c r="H216" t="n">
        <v>2902.9</v>
      </c>
      <c r="I216" t="n">
        <v>213519.38</v>
      </c>
      <c r="J216" t="inlineStr">
        <is>
          <t>Capitol prezent în topul verificat al municipiului; lista nu este exhaustivă.</t>
        </is>
      </c>
    </row>
    <row r="217">
      <c r="A217" t="n">
        <v>2025</v>
      </c>
      <c r="B217" t="inlineStr">
        <is>
          <t>161945</t>
        </is>
      </c>
      <c r="C217" t="inlineStr">
        <is>
          <t>Vaslui</t>
        </is>
      </c>
      <c r="D217" t="inlineStr">
        <is>
          <t>Vaslui</t>
        </is>
      </c>
      <c r="E217" t="inlineStr">
        <is>
          <t>54.02</t>
        </is>
      </c>
      <c r="F217" t="inlineStr">
        <is>
          <t>Alte servicii publice generale - din care titlurile:</t>
        </is>
      </c>
      <c r="G217" t="n">
        <v>3304926</v>
      </c>
      <c r="H217" t="n">
        <v>712.8099999999999</v>
      </c>
      <c r="I217" t="n">
        <v>52430.02</v>
      </c>
      <c r="J217" t="inlineStr">
        <is>
          <t>Capitol prezent în topul verificat al municipiului; lista nu este exhaustivă.</t>
        </is>
      </c>
    </row>
    <row r="218">
      <c r="A218" t="n">
        <v>2025</v>
      </c>
      <c r="B218" t="inlineStr">
        <is>
          <t>161945</t>
        </is>
      </c>
      <c r="C218" t="inlineStr">
        <is>
          <t>Vaslui</t>
        </is>
      </c>
      <c r="D218" t="inlineStr">
        <is>
          <t>Vaslui</t>
        </is>
      </c>
      <c r="E218" t="inlineStr">
        <is>
          <t>81.02</t>
        </is>
      </c>
      <c r="F218" t="inlineStr">
        <is>
          <t>Combustibili și energie - din care titlurile:</t>
        </is>
      </c>
      <c r="G218" t="n">
        <v>450000</v>
      </c>
      <c r="H218" t="n">
        <v>97.06</v>
      </c>
      <c r="I218" t="n">
        <v>7138.89</v>
      </c>
      <c r="J218" t="inlineStr">
        <is>
          <t>Capitol prezent în topul verificat al municipiului; lista nu este exhaustivă.</t>
        </is>
      </c>
    </row>
    <row r="219">
      <c r="A219" t="n">
        <v>2025</v>
      </c>
      <c r="B219" t="inlineStr">
        <is>
          <t>167473</t>
        </is>
      </c>
      <c r="C219" t="inlineStr">
        <is>
          <t>Râmnicu Vâlcea</t>
        </is>
      </c>
      <c r="D219" t="inlineStr">
        <is>
          <t>Vâlcea</t>
        </is>
      </c>
      <c r="E219" t="inlineStr">
        <is>
          <t>51.02</t>
        </is>
      </c>
      <c r="F219" t="inlineStr">
        <is>
          <t>Autoritati publice si actiuni externe</t>
        </is>
      </c>
      <c r="G219" t="n">
        <v>54971.3</v>
      </c>
      <c r="H219" t="n">
        <v>8.699999999999999</v>
      </c>
      <c r="I219" t="n">
        <v>590.13</v>
      </c>
      <c r="J219" t="inlineStr">
        <is>
          <t>Capitol prezent în topul verificat al municipiului; lista nu este exhaustivă.</t>
        </is>
      </c>
    </row>
    <row r="220">
      <c r="A220" t="n">
        <v>2025</v>
      </c>
      <c r="B220" t="inlineStr">
        <is>
          <t>167473</t>
        </is>
      </c>
      <c r="C220" t="inlineStr">
        <is>
          <t>Râmnicu Vâlcea</t>
        </is>
      </c>
      <c r="D220" t="inlineStr">
        <is>
          <t>Vâlcea</t>
        </is>
      </c>
      <c r="E220" t="inlineStr">
        <is>
          <t>66.02</t>
        </is>
      </c>
      <c r="F220" t="inlineStr">
        <is>
          <t>Sanatate</t>
        </is>
      </c>
      <c r="G220" t="n">
        <v>12721</v>
      </c>
      <c r="H220" t="n">
        <v>2.01</v>
      </c>
      <c r="I220" t="n">
        <v>136.56</v>
      </c>
      <c r="J220" t="inlineStr">
        <is>
          <t>Capitol prezent în topul verificat al municipiului; lista nu este exhaustivă.</t>
        </is>
      </c>
    </row>
    <row r="221">
      <c r="A221" t="n">
        <v>2025</v>
      </c>
      <c r="B221" t="inlineStr">
        <is>
          <t>167473</t>
        </is>
      </c>
      <c r="C221" t="inlineStr">
        <is>
          <t>Râmnicu Vâlcea</t>
        </is>
      </c>
      <c r="D221" t="inlineStr">
        <is>
          <t>Vâlcea</t>
        </is>
      </c>
      <c r="E221" t="inlineStr">
        <is>
          <t>54.02</t>
        </is>
      </c>
      <c r="F221" t="inlineStr">
        <is>
          <t>Alte servicii publice generale</t>
        </is>
      </c>
      <c r="G221" t="n">
        <v>220</v>
      </c>
      <c r="H221" t="n">
        <v>0.03</v>
      </c>
      <c r="I221" t="n">
        <v>2.36</v>
      </c>
      <c r="J221" t="inlineStr">
        <is>
          <t>Capitol prezent în topul verificat al municipiului; lista nu este exhaustivă.</t>
        </is>
      </c>
    </row>
    <row r="222">
      <c r="A222" t="n">
        <v>2024</v>
      </c>
      <c r="B222" t="inlineStr">
        <is>
          <t>9262</t>
        </is>
      </c>
      <c r="C222" t="inlineStr">
        <is>
          <t>Arad</t>
        </is>
      </c>
      <c r="D222" t="inlineStr">
        <is>
          <t>Arad</t>
        </is>
      </c>
      <c r="E222" t="inlineStr">
        <is>
          <t>84.02</t>
        </is>
      </c>
      <c r="F222" t="inlineStr">
        <is>
          <t>Transporturi</t>
        </is>
      </c>
      <c r="G222" t="n">
        <v>257401</v>
      </c>
      <c r="H222" t="n">
        <v>25.06</v>
      </c>
      <c r="I222" t="n">
        <v>1774.22</v>
      </c>
      <c r="J222" t="inlineStr">
        <is>
          <t>Capitol prezent în topul verificat al municipiului; lista nu este exhaustivă.</t>
        </is>
      </c>
    </row>
    <row r="223">
      <c r="A223" t="n">
        <v>2024</v>
      </c>
      <c r="B223" t="inlineStr">
        <is>
          <t>9262</t>
        </is>
      </c>
      <c r="C223" t="inlineStr">
        <is>
          <t>Arad</t>
        </is>
      </c>
      <c r="D223" t="inlineStr">
        <is>
          <t>Arad</t>
        </is>
      </c>
      <c r="E223" t="inlineStr">
        <is>
          <t>81.02</t>
        </is>
      </c>
      <c r="F223" t="inlineStr">
        <is>
          <t>Combustibili și energie</t>
        </is>
      </c>
      <c r="G223" t="n">
        <v>178839</v>
      </c>
      <c r="H223" t="n">
        <v>17.41</v>
      </c>
      <c r="I223" t="n">
        <v>1232.71</v>
      </c>
      <c r="J223" t="inlineStr">
        <is>
          <t>Capitol prezent în topul verificat al municipiului; lista nu este exhaustivă.</t>
        </is>
      </c>
    </row>
    <row r="224">
      <c r="A224" t="n">
        <v>2024</v>
      </c>
      <c r="B224" t="inlineStr">
        <is>
          <t>9262</t>
        </is>
      </c>
      <c r="C224" t="inlineStr">
        <is>
          <t>Arad</t>
        </is>
      </c>
      <c r="D224" t="inlineStr">
        <is>
          <t>Arad</t>
        </is>
      </c>
      <c r="E224" t="inlineStr">
        <is>
          <t>65.02</t>
        </is>
      </c>
      <c r="F224" t="inlineStr">
        <is>
          <t>Învățământ</t>
        </is>
      </c>
      <c r="G224" t="n">
        <v>158175.4</v>
      </c>
      <c r="H224" t="n">
        <v>15.4</v>
      </c>
      <c r="I224" t="n">
        <v>1090.28</v>
      </c>
      <c r="J224" t="inlineStr">
        <is>
          <t>Capitol prezent în topul verificat al municipiului; lista nu este exhaustivă.</t>
        </is>
      </c>
    </row>
    <row r="225">
      <c r="A225" t="n">
        <v>2024</v>
      </c>
      <c r="B225" t="inlineStr">
        <is>
          <t>9262</t>
        </is>
      </c>
      <c r="C225" t="inlineStr">
        <is>
          <t>Arad</t>
        </is>
      </c>
      <c r="D225" t="inlineStr">
        <is>
          <t>Arad</t>
        </is>
      </c>
      <c r="E225" t="inlineStr">
        <is>
          <t>67.02</t>
        </is>
      </c>
      <c r="F225" t="inlineStr">
        <is>
          <t>Cultură, recreere și religie</t>
        </is>
      </c>
      <c r="G225" t="n">
        <v>95974</v>
      </c>
      <c r="H225" t="n">
        <v>9.34</v>
      </c>
      <c r="I225" t="n">
        <v>661.53</v>
      </c>
      <c r="J225" t="inlineStr">
        <is>
          <t>Capitol prezent în topul verificat al municipiului; lista nu este exhaustivă.</t>
        </is>
      </c>
    </row>
    <row r="226">
      <c r="A226" t="n">
        <v>2024</v>
      </c>
      <c r="B226" t="inlineStr">
        <is>
          <t>9262</t>
        </is>
      </c>
      <c r="C226" t="inlineStr">
        <is>
          <t>Arad</t>
        </is>
      </c>
      <c r="D226" t="inlineStr">
        <is>
          <t>Arad</t>
        </is>
      </c>
      <c r="E226" t="inlineStr">
        <is>
          <t>68.02</t>
        </is>
      </c>
      <c r="F226" t="inlineStr">
        <is>
          <t>Asigurări și asistență socială</t>
        </is>
      </c>
      <c r="G226" t="n">
        <v>85582</v>
      </c>
      <c r="H226" t="n">
        <v>8.33</v>
      </c>
      <c r="I226" t="n">
        <v>589.9</v>
      </c>
      <c r="J226" t="inlineStr">
        <is>
          <t>Capitol prezent în topul verificat al municipiului; lista nu este exhaustivă.</t>
        </is>
      </c>
    </row>
    <row r="227">
      <c r="A227" t="n">
        <v>2024</v>
      </c>
      <c r="B227" t="inlineStr">
        <is>
          <t>9262</t>
        </is>
      </c>
      <c r="C227" t="inlineStr">
        <is>
          <t>Arad</t>
        </is>
      </c>
      <c r="D227" t="inlineStr">
        <is>
          <t>Arad</t>
        </is>
      </c>
      <c r="E227" t="inlineStr">
        <is>
          <t>74.02</t>
        </is>
      </c>
      <c r="F227" t="inlineStr">
        <is>
          <t>Protecția mediului</t>
        </is>
      </c>
      <c r="G227" t="n">
        <v>67051</v>
      </c>
      <c r="H227" t="n">
        <v>6.53</v>
      </c>
      <c r="I227" t="n">
        <v>462.17</v>
      </c>
      <c r="J227" t="inlineStr">
        <is>
          <t>Capitol prezent în topul verificat al municipiului; lista nu este exhaustivă.</t>
        </is>
      </c>
    </row>
    <row r="228">
      <c r="A228" t="n">
        <v>2024</v>
      </c>
      <c r="B228" t="inlineStr">
        <is>
          <t>9262</t>
        </is>
      </c>
      <c r="C228" t="inlineStr">
        <is>
          <t>Arad</t>
        </is>
      </c>
      <c r="D228" t="inlineStr">
        <is>
          <t>Arad</t>
        </is>
      </c>
      <c r="E228" t="inlineStr">
        <is>
          <t>51.02</t>
        </is>
      </c>
      <c r="F228" t="inlineStr">
        <is>
          <t>Autorități publice și acțiuni externe</t>
        </is>
      </c>
      <c r="G228" t="n">
        <v>62685.13</v>
      </c>
      <c r="H228" t="n">
        <v>6.1</v>
      </c>
      <c r="I228" t="n">
        <v>432.08</v>
      </c>
      <c r="J228" t="inlineStr">
        <is>
          <t>Capitol prezent în topul verificat al municipiului; lista nu este exhaustivă.</t>
        </is>
      </c>
    </row>
    <row r="229">
      <c r="A229" t="n">
        <v>2024</v>
      </c>
      <c r="B229" t="inlineStr">
        <is>
          <t>9262</t>
        </is>
      </c>
      <c r="C229" t="inlineStr">
        <is>
          <t>Arad</t>
        </is>
      </c>
      <c r="D229" t="inlineStr">
        <is>
          <t>Arad</t>
        </is>
      </c>
      <c r="E229" t="inlineStr">
        <is>
          <t>70.02</t>
        </is>
      </c>
      <c r="F229" t="inlineStr">
        <is>
          <t>Locuințe, servicii și dezvoltare publică</t>
        </is>
      </c>
      <c r="G229" t="n">
        <v>54201</v>
      </c>
      <c r="H229" t="n">
        <v>5.28</v>
      </c>
      <c r="I229" t="n">
        <v>373.6</v>
      </c>
      <c r="J229" t="inlineStr">
        <is>
          <t>Capitol prezent în topul verificat al municipiului; lista nu este exhaustivă.</t>
        </is>
      </c>
    </row>
    <row r="230">
      <c r="A230" t="n">
        <v>2024</v>
      </c>
      <c r="B230" t="inlineStr">
        <is>
          <t>9262</t>
        </is>
      </c>
      <c r="C230" t="inlineStr">
        <is>
          <t>Arad</t>
        </is>
      </c>
      <c r="D230" t="inlineStr">
        <is>
          <t>Arad</t>
        </is>
      </c>
      <c r="E230" t="inlineStr">
        <is>
          <t>66.02</t>
        </is>
      </c>
      <c r="F230" t="inlineStr">
        <is>
          <t>Sănătate</t>
        </is>
      </c>
      <c r="G230" t="n">
        <v>25105</v>
      </c>
      <c r="H230" t="n">
        <v>2.44</v>
      </c>
      <c r="I230" t="n">
        <v>173.04</v>
      </c>
      <c r="J230" t="inlineStr">
        <is>
          <t>Capitol prezent în topul verificat al municipiului; lista nu este exhaustivă.</t>
        </is>
      </c>
    </row>
    <row r="231">
      <c r="A231" t="n">
        <v>2024</v>
      </c>
      <c r="B231" t="inlineStr">
        <is>
          <t>9262</t>
        </is>
      </c>
      <c r="C231" t="inlineStr">
        <is>
          <t>Arad</t>
        </is>
      </c>
      <c r="D231" t="inlineStr">
        <is>
          <t>Arad</t>
        </is>
      </c>
      <c r="E231" t="inlineStr">
        <is>
          <t>55.02</t>
        </is>
      </c>
      <c r="F231" t="inlineStr">
        <is>
          <t>Tranzacții privind datoria publică și împrumuturi</t>
        </is>
      </c>
      <c r="G231" t="n">
        <v>22229</v>
      </c>
      <c r="H231" t="n">
        <v>2.16</v>
      </c>
      <c r="I231" t="n">
        <v>153.22</v>
      </c>
      <c r="J231" t="inlineStr">
        <is>
          <t>Capitol prezent în topul verificat al municipiului; lista nu este exhaustivă.</t>
        </is>
      </c>
    </row>
    <row r="232">
      <c r="A232" t="n">
        <v>2024</v>
      </c>
      <c r="B232" t="inlineStr">
        <is>
          <t>20297</t>
        </is>
      </c>
      <c r="C232" t="inlineStr">
        <is>
          <t>Bacău</t>
        </is>
      </c>
      <c r="D232" t="inlineStr">
        <is>
          <t>Bacău</t>
        </is>
      </c>
      <c r="E232" t="inlineStr">
        <is>
          <t>84.02</t>
        </is>
      </c>
      <c r="F232" t="inlineStr">
        <is>
          <t>TRANSPORTURI</t>
        </is>
      </c>
      <c r="G232" t="n">
        <v>234118.59</v>
      </c>
      <c r="H232" t="n">
        <v>39.17</v>
      </c>
      <c r="I232" t="n">
        <v>1720.36</v>
      </c>
      <c r="J232" t="inlineStr">
        <is>
          <t>Capitol prezent în topul verificat al municipiului; lista nu este exhaustivă.</t>
        </is>
      </c>
    </row>
    <row r="233">
      <c r="A233" t="n">
        <v>2024</v>
      </c>
      <c r="B233" t="inlineStr">
        <is>
          <t>20297</t>
        </is>
      </c>
      <c r="C233" t="inlineStr">
        <is>
          <t>Bacău</t>
        </is>
      </c>
      <c r="D233" t="inlineStr">
        <is>
          <t>Bacău</t>
        </is>
      </c>
      <c r="E233" t="inlineStr">
        <is>
          <t>67.02</t>
        </is>
      </c>
      <c r="F233" t="inlineStr">
        <is>
          <t>CULTURA, RECREERE SI RELIGIE</t>
        </is>
      </c>
      <c r="G233" t="n">
        <v>145192.47</v>
      </c>
      <c r="H233" t="n">
        <v>24.29</v>
      </c>
      <c r="I233" t="n">
        <v>1066.91</v>
      </c>
      <c r="J233" t="inlineStr">
        <is>
          <t>Capitol prezent în topul verificat al municipiului; lista nu este exhaustivă.</t>
        </is>
      </c>
    </row>
    <row r="234">
      <c r="A234" t="n">
        <v>2024</v>
      </c>
      <c r="B234" t="inlineStr">
        <is>
          <t>20297</t>
        </is>
      </c>
      <c r="C234" t="inlineStr">
        <is>
          <t>Bacău</t>
        </is>
      </c>
      <c r="D234" t="inlineStr">
        <is>
          <t>Bacău</t>
        </is>
      </c>
      <c r="E234" t="inlineStr">
        <is>
          <t>65.02</t>
        </is>
      </c>
      <c r="F234" t="inlineStr">
        <is>
          <t>INVATAMANT</t>
        </is>
      </c>
      <c r="G234" t="n">
        <v>126574.61</v>
      </c>
      <c r="H234" t="n">
        <v>21.18</v>
      </c>
      <c r="I234" t="n">
        <v>930.1</v>
      </c>
      <c r="J234" t="inlineStr">
        <is>
          <t>Capitol prezent în topul verificat al municipiului; lista nu este exhaustivă.</t>
        </is>
      </c>
    </row>
    <row r="235">
      <c r="A235" t="n">
        <v>2024</v>
      </c>
      <c r="B235" t="inlineStr">
        <is>
          <t>20297</t>
        </is>
      </c>
      <c r="C235" t="inlineStr">
        <is>
          <t>Bacău</t>
        </is>
      </c>
      <c r="D235" t="inlineStr">
        <is>
          <t>Bacău</t>
        </is>
      </c>
      <c r="E235" t="inlineStr">
        <is>
          <t>81.02</t>
        </is>
      </c>
      <c r="F235" t="inlineStr">
        <is>
          <t>COMBUSTIBILI SI ENERGIE</t>
        </is>
      </c>
      <c r="G235" t="n">
        <v>125135.93</v>
      </c>
      <c r="H235" t="n">
        <v>20.94</v>
      </c>
      <c r="I235" t="n">
        <v>919.53</v>
      </c>
      <c r="J235" t="inlineStr">
        <is>
          <t>Capitol prezent în topul verificat al municipiului; lista nu este exhaustivă.</t>
        </is>
      </c>
    </row>
    <row r="236">
      <c r="A236" t="n">
        <v>2024</v>
      </c>
      <c r="B236" t="inlineStr">
        <is>
          <t>20297</t>
        </is>
      </c>
      <c r="C236" t="inlineStr">
        <is>
          <t>Bacău</t>
        </is>
      </c>
      <c r="D236" t="inlineStr">
        <is>
          <t>Bacău</t>
        </is>
      </c>
      <c r="E236" t="inlineStr">
        <is>
          <t>74.02</t>
        </is>
      </c>
      <c r="F236" t="inlineStr">
        <is>
          <t>PROTECTIA MEDIULUI</t>
        </is>
      </c>
      <c r="G236" t="n">
        <v>89659.47</v>
      </c>
      <c r="H236" t="n">
        <v>15</v>
      </c>
      <c r="I236" t="n">
        <v>658.84</v>
      </c>
      <c r="J236" t="inlineStr">
        <is>
          <t>Capitol prezent în topul verificat al municipiului; lista nu este exhaustivă.</t>
        </is>
      </c>
    </row>
    <row r="237">
      <c r="A237" t="n">
        <v>2024</v>
      </c>
      <c r="B237" t="inlineStr">
        <is>
          <t>20297</t>
        </is>
      </c>
      <c r="C237" t="inlineStr">
        <is>
          <t>Bacău</t>
        </is>
      </c>
      <c r="D237" t="inlineStr">
        <is>
          <t>Bacău</t>
        </is>
      </c>
      <c r="E237" t="inlineStr">
        <is>
          <t>68.02</t>
        </is>
      </c>
      <c r="F237" t="inlineStr">
        <is>
          <t>ASIGURARI SI ASISTENTA SOCIALA</t>
        </is>
      </c>
      <c r="G237" t="n">
        <v>82154.42</v>
      </c>
      <c r="H237" t="n">
        <v>13.75</v>
      </c>
      <c r="I237" t="n">
        <v>603.6900000000001</v>
      </c>
      <c r="J237" t="inlineStr">
        <is>
          <t>Capitol prezent în topul verificat al municipiului; lista nu este exhaustivă.</t>
        </is>
      </c>
    </row>
    <row r="238">
      <c r="A238" t="n">
        <v>2024</v>
      </c>
      <c r="B238" t="inlineStr">
        <is>
          <t>20297</t>
        </is>
      </c>
      <c r="C238" t="inlineStr">
        <is>
          <t>Bacău</t>
        </is>
      </c>
      <c r="D238" t="inlineStr">
        <is>
          <t>Bacău</t>
        </is>
      </c>
      <c r="E238" t="inlineStr">
        <is>
          <t>51.02</t>
        </is>
      </c>
      <c r="F238" t="inlineStr">
        <is>
          <t>AUTORITATI PUBLICE SI ACTIUNI EXTERNE</t>
        </is>
      </c>
      <c r="G238" t="n">
        <v>70709.60000000001</v>
      </c>
      <c r="H238" t="n">
        <v>11.83</v>
      </c>
      <c r="I238" t="n">
        <v>519.59</v>
      </c>
      <c r="J238" t="inlineStr">
        <is>
          <t>Capitol prezent în topul verificat al municipiului; lista nu este exhaustivă.</t>
        </is>
      </c>
    </row>
    <row r="239">
      <c r="A239" t="n">
        <v>2024</v>
      </c>
      <c r="B239" t="inlineStr">
        <is>
          <t>20297</t>
        </is>
      </c>
      <c r="C239" t="inlineStr">
        <is>
          <t>Bacău</t>
        </is>
      </c>
      <c r="D239" t="inlineStr">
        <is>
          <t>Bacău</t>
        </is>
      </c>
      <c r="E239" t="inlineStr">
        <is>
          <t>70.02</t>
        </is>
      </c>
      <c r="F239" t="inlineStr">
        <is>
          <t>LOCUINTE, SERVICII SI DEZVOLTARE</t>
        </is>
      </c>
      <c r="G239" t="n">
        <v>23359.92</v>
      </c>
      <c r="H239" t="n">
        <v>3.91</v>
      </c>
      <c r="I239" t="n">
        <v>171.65</v>
      </c>
      <c r="J239" t="inlineStr">
        <is>
          <t>Capitol prezent în topul verificat al municipiului; lista nu este exhaustivă.</t>
        </is>
      </c>
    </row>
    <row r="240">
      <c r="A240" t="n">
        <v>2024</v>
      </c>
      <c r="B240" t="inlineStr">
        <is>
          <t>20297</t>
        </is>
      </c>
      <c r="C240" t="inlineStr">
        <is>
          <t>Bacău</t>
        </is>
      </c>
      <c r="D240" t="inlineStr">
        <is>
          <t>Bacău</t>
        </is>
      </c>
      <c r="E240" t="inlineStr">
        <is>
          <t>66.02</t>
        </is>
      </c>
      <c r="F240" t="inlineStr">
        <is>
          <t>SANATATE</t>
        </is>
      </c>
      <c r="G240" t="n">
        <v>18366.75</v>
      </c>
      <c r="H240" t="n">
        <v>3.07</v>
      </c>
      <c r="I240" t="n">
        <v>134.96</v>
      </c>
      <c r="J240" t="inlineStr">
        <is>
          <t>Capitol prezent în topul verificat al municipiului; lista nu este exhaustivă.</t>
        </is>
      </c>
    </row>
    <row r="241">
      <c r="A241" t="n">
        <v>2024</v>
      </c>
      <c r="B241" t="inlineStr">
        <is>
          <t>20297</t>
        </is>
      </c>
      <c r="C241" t="inlineStr">
        <is>
          <t>Bacău</t>
        </is>
      </c>
      <c r="D241" t="inlineStr">
        <is>
          <t>Bacău</t>
        </is>
      </c>
      <c r="E241" t="inlineStr">
        <is>
          <t>61.02</t>
        </is>
      </c>
      <c r="F241" t="inlineStr">
        <is>
          <t>ORDINE PUBLICA SI SIGURANTA</t>
        </is>
      </c>
      <c r="G241" t="n">
        <v>16915</v>
      </c>
      <c r="H241" t="n">
        <v>2.83</v>
      </c>
      <c r="I241" t="n">
        <v>124.3</v>
      </c>
      <c r="J241" t="inlineStr">
        <is>
          <t>Capitol prezent în topul verificat al municipiului; lista nu este exhaustivă.</t>
        </is>
      </c>
    </row>
    <row r="242">
      <c r="A242" t="n">
        <v>2024</v>
      </c>
      <c r="B242" t="inlineStr">
        <is>
          <t>26564</t>
        </is>
      </c>
      <c r="C242" t="inlineStr">
        <is>
          <t>Oradea</t>
        </is>
      </c>
      <c r="D242" t="inlineStr">
        <is>
          <t>Bihor</t>
        </is>
      </c>
      <c r="E242" t="inlineStr">
        <is>
          <t>84.02</t>
        </is>
      </c>
      <c r="F242" t="inlineStr">
        <is>
          <t>TRANSPORTURI</t>
        </is>
      </c>
      <c r="G242" t="n">
        <v>359110.04</v>
      </c>
      <c r="H242" t="n">
        <v>19.1</v>
      </c>
      <c r="I242" t="n">
        <v>1961.22</v>
      </c>
      <c r="J242" t="inlineStr">
        <is>
          <t>Capitol prezent în topul verificat al municipiului; lista nu este exhaustivă.</t>
        </is>
      </c>
    </row>
    <row r="243">
      <c r="A243" t="n">
        <v>2024</v>
      </c>
      <c r="B243" t="inlineStr">
        <is>
          <t>26564</t>
        </is>
      </c>
      <c r="C243" t="inlineStr">
        <is>
          <t>Oradea</t>
        </is>
      </c>
      <c r="D243" t="inlineStr">
        <is>
          <t>Bihor</t>
        </is>
      </c>
      <c r="E243" t="inlineStr">
        <is>
          <t>70.02</t>
        </is>
      </c>
      <c r="F243" t="inlineStr">
        <is>
          <t>LOCUINTE, SERVICII SI DEZVOLTARE</t>
        </is>
      </c>
      <c r="G243" t="n">
        <v>343391.66</v>
      </c>
      <c r="H243" t="n">
        <v>18.26</v>
      </c>
      <c r="I243" t="n">
        <v>1875.38</v>
      </c>
      <c r="J243" t="inlineStr">
        <is>
          <t>Capitol prezent în topul verificat al municipiului; lista nu este exhaustivă.</t>
        </is>
      </c>
    </row>
    <row r="244">
      <c r="A244" t="n">
        <v>2024</v>
      </c>
      <c r="B244" t="inlineStr">
        <is>
          <t>26564</t>
        </is>
      </c>
      <c r="C244" t="inlineStr">
        <is>
          <t>Oradea</t>
        </is>
      </c>
      <c r="D244" t="inlineStr">
        <is>
          <t>Bihor</t>
        </is>
      </c>
      <c r="E244" t="inlineStr">
        <is>
          <t>81.02</t>
        </is>
      </c>
      <c r="F244" t="inlineStr">
        <is>
          <t>COMBUSTIBILI SI ENERGIE</t>
        </is>
      </c>
      <c r="G244" t="n">
        <v>318456.97</v>
      </c>
      <c r="H244" t="n">
        <v>16.94</v>
      </c>
      <c r="I244" t="n">
        <v>1739.2</v>
      </c>
      <c r="J244" t="inlineStr">
        <is>
          <t>Capitol prezent în topul verificat al municipiului; lista nu este exhaustivă.</t>
        </is>
      </c>
    </row>
    <row r="245">
      <c r="A245" t="n">
        <v>2024</v>
      </c>
      <c r="B245" t="inlineStr">
        <is>
          <t>26564</t>
        </is>
      </c>
      <c r="C245" t="inlineStr">
        <is>
          <t>Oradea</t>
        </is>
      </c>
      <c r="D245" t="inlineStr">
        <is>
          <t>Bihor</t>
        </is>
      </c>
      <c r="E245" t="inlineStr">
        <is>
          <t>65.02</t>
        </is>
      </c>
      <c r="F245" t="inlineStr">
        <is>
          <t>INVATAMANT</t>
        </is>
      </c>
      <c r="G245" t="n">
        <v>264930.18</v>
      </c>
      <c r="H245" t="n">
        <v>14.09</v>
      </c>
      <c r="I245" t="n">
        <v>1446.88</v>
      </c>
      <c r="J245" t="inlineStr">
        <is>
          <t>Capitol prezent în topul verificat al municipiului; lista nu este exhaustivă.</t>
        </is>
      </c>
    </row>
    <row r="246">
      <c r="A246" t="n">
        <v>2024</v>
      </c>
      <c r="B246" t="inlineStr">
        <is>
          <t>26564</t>
        </is>
      </c>
      <c r="C246" t="inlineStr">
        <is>
          <t>Oradea</t>
        </is>
      </c>
      <c r="D246" t="inlineStr">
        <is>
          <t>Bihor</t>
        </is>
      </c>
      <c r="E246" t="inlineStr">
        <is>
          <t>66.02</t>
        </is>
      </c>
      <c r="F246" t="inlineStr">
        <is>
          <t>SANATATE</t>
        </is>
      </c>
      <c r="G246" t="n">
        <v>171081.32</v>
      </c>
      <c r="H246" t="n">
        <v>9.1</v>
      </c>
      <c r="I246" t="n">
        <v>934.33</v>
      </c>
      <c r="J246" t="inlineStr">
        <is>
          <t>Capitol prezent în topul verificat al municipiului; lista nu este exhaustivă.</t>
        </is>
      </c>
    </row>
    <row r="247">
      <c r="A247" t="n">
        <v>2024</v>
      </c>
      <c r="B247" t="inlineStr">
        <is>
          <t>26564</t>
        </is>
      </c>
      <c r="C247" t="inlineStr">
        <is>
          <t>Oradea</t>
        </is>
      </c>
      <c r="D247" t="inlineStr">
        <is>
          <t>Bihor</t>
        </is>
      </c>
      <c r="E247" t="inlineStr">
        <is>
          <t>67.02</t>
        </is>
      </c>
      <c r="F247" t="inlineStr">
        <is>
          <t>CULTURA, RECREERE SI RELIGIE</t>
        </is>
      </c>
      <c r="G247" t="n">
        <v>98281.69</v>
      </c>
      <c r="H247" t="n">
        <v>5.23</v>
      </c>
      <c r="I247" t="n">
        <v>536.75</v>
      </c>
      <c r="J247" t="inlineStr">
        <is>
          <t>Capitol prezent în topul verificat al municipiului; lista nu este exhaustivă.</t>
        </is>
      </c>
    </row>
    <row r="248">
      <c r="A248" t="n">
        <v>2024</v>
      </c>
      <c r="B248" t="inlineStr">
        <is>
          <t>26564</t>
        </is>
      </c>
      <c r="C248" t="inlineStr">
        <is>
          <t>Oradea</t>
        </is>
      </c>
      <c r="D248" t="inlineStr">
        <is>
          <t>Bihor</t>
        </is>
      </c>
      <c r="E248" t="inlineStr">
        <is>
          <t>51.02</t>
        </is>
      </c>
      <c r="F248" t="inlineStr">
        <is>
          <t>AUTORITATI PUBLICE SI ACTIUNI EXTERNE</t>
        </is>
      </c>
      <c r="G248" t="n">
        <v>88107.92</v>
      </c>
      <c r="H248" t="n">
        <v>4.69</v>
      </c>
      <c r="I248" t="n">
        <v>481.19</v>
      </c>
      <c r="J248" t="inlineStr">
        <is>
          <t>Capitol prezent în topul verificat al municipiului; lista nu este exhaustivă.</t>
        </is>
      </c>
    </row>
    <row r="249">
      <c r="A249" t="n">
        <v>2024</v>
      </c>
      <c r="B249" t="inlineStr">
        <is>
          <t>26564</t>
        </is>
      </c>
      <c r="C249" t="inlineStr">
        <is>
          <t>Oradea</t>
        </is>
      </c>
      <c r="D249" t="inlineStr">
        <is>
          <t>Bihor</t>
        </is>
      </c>
      <c r="E249" t="inlineStr">
        <is>
          <t>74.02</t>
        </is>
      </c>
      <c r="F249" t="inlineStr">
        <is>
          <t>PROTECTIA MEDIULUI</t>
        </is>
      </c>
      <c r="G249" t="n">
        <v>74355.78999999999</v>
      </c>
      <c r="H249" t="n">
        <v>3.95</v>
      </c>
      <c r="I249" t="n">
        <v>406.08</v>
      </c>
      <c r="J249" t="inlineStr">
        <is>
          <t>Capitol prezent în topul verificat al municipiului; lista nu este exhaustivă.</t>
        </is>
      </c>
    </row>
    <row r="250">
      <c r="A250" t="n">
        <v>2024</v>
      </c>
      <c r="B250" t="inlineStr">
        <is>
          <t>26564</t>
        </is>
      </c>
      <c r="C250" t="inlineStr">
        <is>
          <t>Oradea</t>
        </is>
      </c>
      <c r="D250" t="inlineStr">
        <is>
          <t>Bihor</t>
        </is>
      </c>
      <c r="E250" t="inlineStr">
        <is>
          <t>68.02</t>
        </is>
      </c>
      <c r="F250" t="inlineStr">
        <is>
          <t>ASIGURARI SI ASISTENTA SOCIALA</t>
        </is>
      </c>
      <c r="G250" t="n">
        <v>70976.99000000001</v>
      </c>
      <c r="H250" t="n">
        <v>3.77</v>
      </c>
      <c r="I250" t="n">
        <v>387.63</v>
      </c>
      <c r="J250" t="inlineStr">
        <is>
          <t>Capitol prezent în topul verificat al municipiului; lista nu este exhaustivă.</t>
        </is>
      </c>
    </row>
    <row r="251">
      <c r="A251" t="n">
        <v>2024</v>
      </c>
      <c r="B251" t="inlineStr">
        <is>
          <t>26564</t>
        </is>
      </c>
      <c r="C251" t="inlineStr">
        <is>
          <t>Oradea</t>
        </is>
      </c>
      <c r="D251" t="inlineStr">
        <is>
          <t>Bihor</t>
        </is>
      </c>
      <c r="E251" t="inlineStr">
        <is>
          <t>55.02</t>
        </is>
      </c>
      <c r="F251" t="inlineStr">
        <is>
          <t>TRANZACTII PRIVIND DATORIA PUBLICA SI IMPRUMUTURI</t>
        </is>
      </c>
      <c r="G251" t="n">
        <v>49010</v>
      </c>
      <c r="H251" t="n">
        <v>2.61</v>
      </c>
      <c r="I251" t="n">
        <v>267.66</v>
      </c>
      <c r="J251" t="inlineStr">
        <is>
          <t>Capitol prezent în topul verificat al municipiului; lista nu este exhaustivă.</t>
        </is>
      </c>
    </row>
    <row r="252">
      <c r="A252" t="n">
        <v>2024</v>
      </c>
      <c r="B252" t="inlineStr">
        <is>
          <t>32394</t>
        </is>
      </c>
      <c r="C252" t="inlineStr">
        <is>
          <t>Bistrița</t>
        </is>
      </c>
      <c r="D252" t="inlineStr">
        <is>
          <t>Bistrița-Năsăud</t>
        </is>
      </c>
      <c r="E252" t="inlineStr">
        <is>
          <t>70.02</t>
        </is>
      </c>
      <c r="F252" t="inlineStr">
        <is>
          <t>Locuínte, servicii si dezvoltare publica</t>
        </is>
      </c>
      <c r="G252" t="n">
        <v>188462</v>
      </c>
      <c r="H252" t="n">
        <v>68.31999999999999</v>
      </c>
      <c r="I252" t="n">
        <v>2389.32</v>
      </c>
      <c r="J252" t="inlineStr">
        <is>
          <t>Capitol prezent în topul verificat al municipiului; lista nu este exhaustivă.</t>
        </is>
      </c>
    </row>
    <row r="253">
      <c r="A253" t="n">
        <v>2024</v>
      </c>
      <c r="B253" t="inlineStr">
        <is>
          <t>32394</t>
        </is>
      </c>
      <c r="C253" t="inlineStr">
        <is>
          <t>Bistrița</t>
        </is>
      </c>
      <c r="D253" t="inlineStr">
        <is>
          <t>Bistrița-Năsăud</t>
        </is>
      </c>
      <c r="E253" t="inlineStr">
        <is>
          <t>84.02</t>
        </is>
      </c>
      <c r="F253" t="inlineStr">
        <is>
          <t>Transporturi</t>
        </is>
      </c>
      <c r="G253" t="n">
        <v>112497</v>
      </c>
      <c r="H253" t="n">
        <v>40.78</v>
      </c>
      <c r="I253" t="n">
        <v>1426.23</v>
      </c>
      <c r="J253" t="inlineStr">
        <is>
          <t>Capitol prezent în topul verificat al municipiului; lista nu este exhaustivă.</t>
        </is>
      </c>
    </row>
    <row r="254">
      <c r="A254" t="n">
        <v>2024</v>
      </c>
      <c r="B254" t="inlineStr">
        <is>
          <t>32394</t>
        </is>
      </c>
      <c r="C254" t="inlineStr">
        <is>
          <t>Bistrița</t>
        </is>
      </c>
      <c r="D254" t="inlineStr">
        <is>
          <t>Bistrița-Năsăud</t>
        </is>
      </c>
      <c r="E254" t="inlineStr">
        <is>
          <t>65.02</t>
        </is>
      </c>
      <c r="F254" t="inlineStr">
        <is>
          <t>Invatamant</t>
        </is>
      </c>
      <c r="G254" t="n">
        <v>109620</v>
      </c>
      <c r="H254" t="n">
        <v>39.74</v>
      </c>
      <c r="I254" t="n">
        <v>1389.76</v>
      </c>
      <c r="J254" t="inlineStr">
        <is>
          <t>Capitol prezent în topul verificat al municipiului; lista nu este exhaustivă.</t>
        </is>
      </c>
    </row>
    <row r="255">
      <c r="A255" t="n">
        <v>2024</v>
      </c>
      <c r="B255" t="inlineStr">
        <is>
          <t>32394</t>
        </is>
      </c>
      <c r="C255" t="inlineStr">
        <is>
          <t>Bistrița</t>
        </is>
      </c>
      <c r="D255" t="inlineStr">
        <is>
          <t>Bistrița-Năsăud</t>
        </is>
      </c>
      <c r="E255" t="inlineStr">
        <is>
          <t>51.02</t>
        </is>
      </c>
      <c r="F255" t="inlineStr">
        <is>
          <t>Autoritati publice si actiuni externe</t>
        </is>
      </c>
      <c r="G255" t="n">
        <v>46240</v>
      </c>
      <c r="H255" t="n">
        <v>16.76</v>
      </c>
      <c r="I255" t="n">
        <v>586.23</v>
      </c>
      <c r="J255" t="inlineStr">
        <is>
          <t>Capitol prezent în topul verificat al municipiului; lista nu este exhaustivă.</t>
        </is>
      </c>
    </row>
    <row r="256">
      <c r="A256" t="n">
        <v>2024</v>
      </c>
      <c r="B256" t="inlineStr">
        <is>
          <t>32394</t>
        </is>
      </c>
      <c r="C256" t="inlineStr">
        <is>
          <t>Bistrița</t>
        </is>
      </c>
      <c r="D256" t="inlineStr">
        <is>
          <t>Bistrița-Năsăud</t>
        </is>
      </c>
      <c r="E256" t="inlineStr">
        <is>
          <t>68.02</t>
        </is>
      </c>
      <c r="F256" t="inlineStr">
        <is>
          <t>Asigurari si asistenta sociala</t>
        </is>
      </c>
      <c r="G256" t="n">
        <v>43740</v>
      </c>
      <c r="H256" t="n">
        <v>15.86</v>
      </c>
      <c r="I256" t="n">
        <v>554.53</v>
      </c>
      <c r="J256" t="inlineStr">
        <is>
          <t>Capitol prezent în topul verificat al municipiului; lista nu este exhaustivă.</t>
        </is>
      </c>
    </row>
    <row r="257">
      <c r="A257" t="n">
        <v>2024</v>
      </c>
      <c r="B257" t="inlineStr">
        <is>
          <t>32394</t>
        </is>
      </c>
      <c r="C257" t="inlineStr">
        <is>
          <t>Bistrița</t>
        </is>
      </c>
      <c r="D257" t="inlineStr">
        <is>
          <t>Bistrița-Năsăud</t>
        </is>
      </c>
      <c r="E257" t="inlineStr">
        <is>
          <t>00.12</t>
        </is>
      </c>
      <c r="F257" t="inlineStr">
        <is>
          <t>C. VENITURI NEFISCALE</t>
        </is>
      </c>
      <c r="G257" t="n">
        <v>30788</v>
      </c>
      <c r="H257" t="n">
        <v>11.16</v>
      </c>
      <c r="I257" t="n">
        <v>390.33</v>
      </c>
      <c r="J257" t="inlineStr">
        <is>
          <t>Capitol prezent în topul verificat al municipiului; lista nu este exhaustivă.</t>
        </is>
      </c>
    </row>
    <row r="258">
      <c r="A258" t="n">
        <v>2024</v>
      </c>
      <c r="B258" t="inlineStr">
        <is>
          <t>32394</t>
        </is>
      </c>
      <c r="C258" t="inlineStr">
        <is>
          <t>Bistrița</t>
        </is>
      </c>
      <c r="D258" t="inlineStr">
        <is>
          <t>Bistrița-Năsăud</t>
        </is>
      </c>
      <c r="E258" t="inlineStr">
        <is>
          <t>00.14</t>
        </is>
      </c>
      <c r="F258" t="inlineStr">
        <is>
          <t>C2. VANZARI DE BUNURI SI SERVICII</t>
        </is>
      </c>
      <c r="G258" t="n">
        <v>28729</v>
      </c>
      <c r="H258" t="n">
        <v>10.42</v>
      </c>
      <c r="I258" t="n">
        <v>364.23</v>
      </c>
      <c r="J258" t="inlineStr">
        <is>
          <t>Capitol prezent în topul verificat al municipiului; lista nu este exhaustivă.</t>
        </is>
      </c>
    </row>
    <row r="259">
      <c r="A259" t="n">
        <v>2024</v>
      </c>
      <c r="B259" t="inlineStr">
        <is>
          <t>32394</t>
        </is>
      </c>
      <c r="C259" t="inlineStr">
        <is>
          <t>Bistrița</t>
        </is>
      </c>
      <c r="D259" t="inlineStr">
        <is>
          <t>Bistrița-Năsăud</t>
        </is>
      </c>
      <c r="E259" t="inlineStr">
        <is>
          <t>67.02</t>
        </is>
      </c>
      <c r="F259" t="inlineStr">
        <is>
          <t>Cultura, recreere si religie</t>
        </is>
      </c>
      <c r="G259" t="n">
        <v>21319</v>
      </c>
      <c r="H259" t="n">
        <v>7.73</v>
      </c>
      <c r="I259" t="n">
        <v>270.28</v>
      </c>
      <c r="J259" t="inlineStr">
        <is>
          <t>Capitol prezent în topul verificat al municipiului; lista nu este exhaustivă.</t>
        </is>
      </c>
    </row>
    <row r="260">
      <c r="A260" t="n">
        <v>2024</v>
      </c>
      <c r="B260" t="inlineStr">
        <is>
          <t>32394</t>
        </is>
      </c>
      <c r="C260" t="inlineStr">
        <is>
          <t>Bistrița</t>
        </is>
      </c>
      <c r="D260" t="inlineStr">
        <is>
          <t>Bistrița-Năsăud</t>
        </is>
      </c>
      <c r="E260" t="inlineStr">
        <is>
          <t>55.02</t>
        </is>
      </c>
      <c r="F260" t="inlineStr">
        <is>
          <t>Tranzactii privind datoria publica si împrumuturi</t>
        </is>
      </c>
      <c r="G260" t="n">
        <v>11500</v>
      </c>
      <c r="H260" t="n">
        <v>4.17</v>
      </c>
      <c r="I260" t="n">
        <v>145.8</v>
      </c>
      <c r="J260" t="inlineStr">
        <is>
          <t>Capitol prezent în topul verificat al municipiului; lista nu este exhaustivă.</t>
        </is>
      </c>
    </row>
    <row r="261">
      <c r="A261" t="n">
        <v>2024</v>
      </c>
      <c r="B261" t="inlineStr">
        <is>
          <t>32394</t>
        </is>
      </c>
      <c r="C261" t="inlineStr">
        <is>
          <t>Bistrița</t>
        </is>
      </c>
      <c r="D261" t="inlineStr">
        <is>
          <t>Bistrița-Năsăud</t>
        </is>
      </c>
      <c r="E261" t="inlineStr">
        <is>
          <t>54.02</t>
        </is>
      </c>
      <c r="F261" t="inlineStr">
        <is>
          <t>Alte servicii publice generale</t>
        </is>
      </c>
      <c r="G261" t="n">
        <v>4085</v>
      </c>
      <c r="H261" t="n">
        <v>1.48</v>
      </c>
      <c r="I261" t="n">
        <v>51.79</v>
      </c>
      <c r="J261" t="inlineStr">
        <is>
          <t>Capitol prezent în topul verificat al municipiului; lista nu este exhaustivă.</t>
        </is>
      </c>
    </row>
    <row r="262">
      <c r="A262" t="n">
        <v>2024</v>
      </c>
      <c r="B262" t="inlineStr">
        <is>
          <t>35731</t>
        </is>
      </c>
      <c r="C262" t="inlineStr">
        <is>
          <t>Botoșani</t>
        </is>
      </c>
      <c r="D262" t="inlineStr">
        <is>
          <t>Botoșani</t>
        </is>
      </c>
      <c r="E262" t="inlineStr">
        <is>
          <t>51.02</t>
        </is>
      </c>
      <c r="F262" t="inlineStr">
        <is>
          <t>Autoritati publice si actiuni externe</t>
        </is>
      </c>
      <c r="G262" t="n">
        <v>42409.93</v>
      </c>
      <c r="H262" t="n">
        <v>13.55</v>
      </c>
      <c r="I262" t="n">
        <v>471.17</v>
      </c>
      <c r="J262" t="inlineStr">
        <is>
          <t>Capitol prezent în topul verificat al municipiului; lista nu este exhaustivă.</t>
        </is>
      </c>
    </row>
    <row r="263">
      <c r="A263" t="n">
        <v>2024</v>
      </c>
      <c r="B263" t="inlineStr">
        <is>
          <t>35731</t>
        </is>
      </c>
      <c r="C263" t="inlineStr">
        <is>
          <t>Botoșani</t>
        </is>
      </c>
      <c r="D263" t="inlineStr">
        <is>
          <t>Botoșani</t>
        </is>
      </c>
      <c r="E263" t="inlineStr">
        <is>
          <t>68.02</t>
        </is>
      </c>
      <c r="F263" t="inlineStr">
        <is>
          <t>Asigurari si asistenta sociala</t>
        </is>
      </c>
      <c r="G263" t="n">
        <v>42223.27</v>
      </c>
      <c r="H263" t="n">
        <v>13.49</v>
      </c>
      <c r="I263" t="n">
        <v>469.1</v>
      </c>
      <c r="J263" t="inlineStr">
        <is>
          <t>Capitol prezent în topul verificat al municipiului; lista nu este exhaustivă.</t>
        </is>
      </c>
    </row>
    <row r="264">
      <c r="A264" t="n">
        <v>2024</v>
      </c>
      <c r="B264" t="inlineStr">
        <is>
          <t>35731</t>
        </is>
      </c>
      <c r="C264" t="inlineStr">
        <is>
          <t>Botoșani</t>
        </is>
      </c>
      <c r="D264" t="inlineStr">
        <is>
          <t>Botoșani</t>
        </is>
      </c>
      <c r="E264" t="inlineStr">
        <is>
          <t>65.02</t>
        </is>
      </c>
      <c r="F264" t="inlineStr">
        <is>
          <t>Invatamant</t>
        </is>
      </c>
      <c r="G264" t="n">
        <v>29042.71</v>
      </c>
      <c r="H264" t="n">
        <v>9.279999999999999</v>
      </c>
      <c r="I264" t="n">
        <v>322.66</v>
      </c>
      <c r="J264" t="inlineStr">
        <is>
          <t>Capitol prezent în topul verificat al municipiului; lista nu este exhaustivă.</t>
        </is>
      </c>
    </row>
    <row r="265">
      <c r="A265" t="n">
        <v>2024</v>
      </c>
      <c r="B265" t="inlineStr">
        <is>
          <t>35731</t>
        </is>
      </c>
      <c r="C265" t="inlineStr">
        <is>
          <t>Botoșani</t>
        </is>
      </c>
      <c r="D265" t="inlineStr">
        <is>
          <t>Botoșani</t>
        </is>
      </c>
      <c r="E265" t="inlineStr">
        <is>
          <t>81.02</t>
        </is>
      </c>
      <c r="F265" t="inlineStr">
        <is>
          <t>Combustibili şi energie</t>
        </is>
      </c>
      <c r="G265" t="n">
        <v>10000</v>
      </c>
      <c r="H265" t="n">
        <v>3.2</v>
      </c>
      <c r="I265" t="n">
        <v>111.1</v>
      </c>
      <c r="J265" t="inlineStr">
        <is>
          <t>Capitol prezent în topul verificat al municipiului; lista nu este exhaustivă.</t>
        </is>
      </c>
    </row>
    <row r="266">
      <c r="A266" t="n">
        <v>2024</v>
      </c>
      <c r="B266" t="inlineStr">
        <is>
          <t>35731</t>
        </is>
      </c>
      <c r="C266" t="inlineStr">
        <is>
          <t>Botoșani</t>
        </is>
      </c>
      <c r="D266" t="inlineStr">
        <is>
          <t>Botoșani</t>
        </is>
      </c>
      <c r="E266" t="inlineStr">
        <is>
          <t>66.02</t>
        </is>
      </c>
      <c r="F266" t="inlineStr">
        <is>
          <t>Sanatate total capitol:</t>
        </is>
      </c>
      <c r="G266" t="n">
        <v>9566.6</v>
      </c>
      <c r="H266" t="n">
        <v>3.06</v>
      </c>
      <c r="I266" t="n">
        <v>106.28</v>
      </c>
      <c r="J266" t="inlineStr">
        <is>
          <t>Capitol prezent în topul verificat al municipiului; lista nu este exhaustivă.</t>
        </is>
      </c>
    </row>
    <row r="267">
      <c r="A267" t="n">
        <v>2024</v>
      </c>
      <c r="B267" t="inlineStr">
        <is>
          <t>35731</t>
        </is>
      </c>
      <c r="C267" t="inlineStr">
        <is>
          <t>Botoșani</t>
        </is>
      </c>
      <c r="D267" t="inlineStr">
        <is>
          <t>Botoșani</t>
        </is>
      </c>
      <c r="E267" t="inlineStr">
        <is>
          <t>55.02</t>
        </is>
      </c>
      <c r="F267" t="inlineStr">
        <is>
          <t>Tranzactii privind datoria publica si imprumuturi</t>
        </is>
      </c>
      <c r="G267" t="n">
        <v>5110</v>
      </c>
      <c r="H267" t="n">
        <v>1.63</v>
      </c>
      <c r="I267" t="n">
        <v>56.77</v>
      </c>
      <c r="J267" t="inlineStr">
        <is>
          <t>Capitol prezent în topul verificat al municipiului; lista nu este exhaustivă.</t>
        </is>
      </c>
    </row>
    <row r="268">
      <c r="A268" t="n">
        <v>2024</v>
      </c>
      <c r="B268" t="inlineStr">
        <is>
          <t>35731</t>
        </is>
      </c>
      <c r="C268" t="inlineStr">
        <is>
          <t>Botoșani</t>
        </is>
      </c>
      <c r="D268" t="inlineStr">
        <is>
          <t>Botoșani</t>
        </is>
      </c>
      <c r="E268" t="inlineStr">
        <is>
          <t>54.02</t>
        </is>
      </c>
      <c r="F268" t="inlineStr">
        <is>
          <t>Alte servicii publice generale Din total capitol:</t>
        </is>
      </c>
      <c r="G268" t="n">
        <v>4807.23</v>
      </c>
      <c r="H268" t="n">
        <v>1.54</v>
      </c>
      <c r="I268" t="n">
        <v>53.41</v>
      </c>
      <c r="J268" t="inlineStr">
        <is>
          <t>Capitol prezent în topul verificat al municipiului; lista nu este exhaustivă.</t>
        </is>
      </c>
    </row>
    <row r="269">
      <c r="A269" t="n">
        <v>2024</v>
      </c>
      <c r="B269" t="inlineStr">
        <is>
          <t>35731</t>
        </is>
      </c>
      <c r="C269" t="inlineStr">
        <is>
          <t>Botoșani</t>
        </is>
      </c>
      <c r="D269" t="inlineStr">
        <is>
          <t>Botoșani</t>
        </is>
      </c>
      <c r="E269" t="inlineStr">
        <is>
          <t>56.02</t>
        </is>
      </c>
      <c r="F269" t="inlineStr">
        <is>
          <t>Transferuri cu caracter general intre diferite niveluri ale administra</t>
        </is>
      </c>
      <c r="G269" t="n">
        <v>0</v>
      </c>
      <c r="H269" t="n">
        <v>0</v>
      </c>
      <c r="I269" t="n">
        <v>0</v>
      </c>
      <c r="J269" t="inlineStr">
        <is>
          <t>Capitol prezent în topul verificat al municipiului; lista nu este exhaustivă.</t>
        </is>
      </c>
    </row>
    <row r="270">
      <c r="A270" t="n">
        <v>2024</v>
      </c>
      <c r="B270" t="inlineStr">
        <is>
          <t>40198</t>
        </is>
      </c>
      <c r="C270" t="inlineStr">
        <is>
          <t>Brașov</t>
        </is>
      </c>
      <c r="D270" t="inlineStr">
        <is>
          <t>Brașov</t>
        </is>
      </c>
      <c r="E270" t="inlineStr">
        <is>
          <t>65.02</t>
        </is>
      </c>
      <c r="F270" t="inlineStr">
        <is>
          <t>Invatamant</t>
        </is>
      </c>
      <c r="G270" t="n">
        <v>117628.29</v>
      </c>
      <c r="H270" t="n">
        <v>6.11</v>
      </c>
      <c r="I270" t="n">
        <v>495.09</v>
      </c>
      <c r="J270" t="inlineStr">
        <is>
          <t>Capitol prezent în topul verificat al municipiului; lista nu este exhaustivă.</t>
        </is>
      </c>
    </row>
    <row r="271">
      <c r="A271" t="n">
        <v>2024</v>
      </c>
      <c r="B271" t="inlineStr">
        <is>
          <t>40198</t>
        </is>
      </c>
      <c r="C271" t="inlineStr">
        <is>
          <t>Brașov</t>
        </is>
      </c>
      <c r="D271" t="inlineStr">
        <is>
          <t>Brașov</t>
        </is>
      </c>
      <c r="E271" t="inlineStr">
        <is>
          <t>74.02</t>
        </is>
      </c>
      <c r="F271" t="inlineStr">
        <is>
          <t>Protectia mediului</t>
        </is>
      </c>
      <c r="G271" t="n">
        <v>79891</v>
      </c>
      <c r="H271" t="n">
        <v>4.15</v>
      </c>
      <c r="I271" t="n">
        <v>336.26</v>
      </c>
      <c r="J271" t="inlineStr">
        <is>
          <t>Capitol prezent în topul verificat al municipiului; lista nu este exhaustivă.</t>
        </is>
      </c>
    </row>
    <row r="272">
      <c r="A272" t="n">
        <v>2024</v>
      </c>
      <c r="B272" t="inlineStr">
        <is>
          <t>40198</t>
        </is>
      </c>
      <c r="C272" t="inlineStr">
        <is>
          <t>Brașov</t>
        </is>
      </c>
      <c r="D272" t="inlineStr">
        <is>
          <t>Brașov</t>
        </is>
      </c>
      <c r="E272" t="inlineStr">
        <is>
          <t>70.02</t>
        </is>
      </c>
      <c r="F272" t="inlineStr">
        <is>
          <t>Locuinte, servicii si dezvoltare publica</t>
        </is>
      </c>
      <c r="G272" t="n">
        <v>67138</v>
      </c>
      <c r="H272" t="n">
        <v>3.49</v>
      </c>
      <c r="I272" t="n">
        <v>282.58</v>
      </c>
      <c r="J272" t="inlineStr">
        <is>
          <t>Capitol prezent în topul verificat al municipiului; lista nu este exhaustivă.</t>
        </is>
      </c>
    </row>
    <row r="273">
      <c r="A273" t="n">
        <v>2024</v>
      </c>
      <c r="B273" t="inlineStr">
        <is>
          <t>40198</t>
        </is>
      </c>
      <c r="C273" t="inlineStr">
        <is>
          <t>Brașov</t>
        </is>
      </c>
      <c r="D273" t="inlineStr">
        <is>
          <t>Brașov</t>
        </is>
      </c>
      <c r="E273" t="inlineStr">
        <is>
          <t>80.02</t>
        </is>
      </c>
      <c r="F273" t="inlineStr">
        <is>
          <t>Actiuni generale economice, comerciale si de munca</t>
        </is>
      </c>
      <c r="G273" t="n">
        <v>61347.1</v>
      </c>
      <c r="H273" t="n">
        <v>3.19</v>
      </c>
      <c r="I273" t="n">
        <v>258.21</v>
      </c>
      <c r="J273" t="inlineStr">
        <is>
          <t>Capitol prezent în topul verificat al municipiului; lista nu este exhaustivă.</t>
        </is>
      </c>
    </row>
    <row r="274">
      <c r="A274" t="n">
        <v>2024</v>
      </c>
      <c r="B274" t="inlineStr">
        <is>
          <t>40198</t>
        </is>
      </c>
      <c r="C274" t="inlineStr">
        <is>
          <t>Brașov</t>
        </is>
      </c>
      <c r="D274" t="inlineStr">
        <is>
          <t>Brașov</t>
        </is>
      </c>
      <c r="E274" t="inlineStr">
        <is>
          <t>61.02</t>
        </is>
      </c>
      <c r="F274" t="inlineStr">
        <is>
          <t>Ordine publica si siguranta nationala</t>
        </is>
      </c>
      <c r="G274" t="n">
        <v>39390</v>
      </c>
      <c r="H274" t="n">
        <v>2.05</v>
      </c>
      <c r="I274" t="n">
        <v>165.79</v>
      </c>
      <c r="J274" t="inlineStr">
        <is>
          <t>Capitol prezent în topul verificat al municipiului; lista nu este exhaustivă.</t>
        </is>
      </c>
    </row>
    <row r="275">
      <c r="A275" t="n">
        <v>2024</v>
      </c>
      <c r="B275" t="inlineStr">
        <is>
          <t>40198</t>
        </is>
      </c>
      <c r="C275" t="inlineStr">
        <is>
          <t>Brașov</t>
        </is>
      </c>
      <c r="D275" t="inlineStr">
        <is>
          <t>Brașov</t>
        </is>
      </c>
      <c r="E275" t="inlineStr">
        <is>
          <t>87.02</t>
        </is>
      </c>
      <c r="F275" t="inlineStr">
        <is>
          <t>Alte actiuni economice</t>
        </is>
      </c>
      <c r="G275" t="n">
        <v>21231.88</v>
      </c>
      <c r="H275" t="n">
        <v>1.1</v>
      </c>
      <c r="I275" t="n">
        <v>89.36</v>
      </c>
      <c r="J275" t="inlineStr">
        <is>
          <t>Capitol prezent în topul verificat al municipiului; lista nu este exhaustivă.</t>
        </is>
      </c>
    </row>
    <row r="276">
      <c r="A276" t="n">
        <v>2024</v>
      </c>
      <c r="B276" t="inlineStr">
        <is>
          <t>40198</t>
        </is>
      </c>
      <c r="C276" t="inlineStr">
        <is>
          <t>Brașov</t>
        </is>
      </c>
      <c r="D276" t="inlineStr">
        <is>
          <t>Brașov</t>
        </is>
      </c>
      <c r="E276" t="inlineStr">
        <is>
          <t>54.02</t>
        </is>
      </c>
      <c r="F276" t="inlineStr">
        <is>
          <t>Alte servicii publice generale</t>
        </is>
      </c>
      <c r="G276" t="n">
        <v>17297.49</v>
      </c>
      <c r="H276" t="n">
        <v>0.9</v>
      </c>
      <c r="I276" t="n">
        <v>72.8</v>
      </c>
      <c r="J276" t="inlineStr">
        <is>
          <t>Capitol prezent în topul verificat al municipiului; lista nu este exhaustivă.</t>
        </is>
      </c>
    </row>
    <row r="277">
      <c r="A277" t="n">
        <v>2024</v>
      </c>
      <c r="B277" t="inlineStr">
        <is>
          <t>40198</t>
        </is>
      </c>
      <c r="C277" t="inlineStr">
        <is>
          <t>Brașov</t>
        </is>
      </c>
      <c r="D277" t="inlineStr">
        <is>
          <t>Brașov</t>
        </is>
      </c>
      <c r="E277" t="inlineStr">
        <is>
          <t>81.02</t>
        </is>
      </c>
      <c r="F277" t="inlineStr">
        <is>
          <t>Combustibili si energie</t>
        </is>
      </c>
      <c r="G277" t="n">
        <v>2000</v>
      </c>
      <c r="H277" t="n">
        <v>0.1</v>
      </c>
      <c r="I277" t="n">
        <v>8.42</v>
      </c>
      <c r="J277" t="inlineStr">
        <is>
          <t>Capitol prezent în topul verificat al municipiului; lista nu este exhaustivă.</t>
        </is>
      </c>
    </row>
    <row r="278">
      <c r="A278" t="n">
        <v>2024</v>
      </c>
      <c r="B278" t="inlineStr">
        <is>
          <t>40198</t>
        </is>
      </c>
      <c r="C278" t="inlineStr">
        <is>
          <t>Brașov</t>
        </is>
      </c>
      <c r="D278" t="inlineStr">
        <is>
          <t>Brașov</t>
        </is>
      </c>
      <c r="E278" t="inlineStr">
        <is>
          <t>55.02</t>
        </is>
      </c>
      <c r="F278" t="inlineStr">
        <is>
          <t>Tranzactii privind datoria publica si imprumuturi</t>
        </is>
      </c>
      <c r="G278" t="n">
        <v>1393</v>
      </c>
      <c r="H278" t="n">
        <v>0.07000000000000001</v>
      </c>
      <c r="I278" t="n">
        <v>5.86</v>
      </c>
      <c r="J278" t="inlineStr">
        <is>
          <t>Capitol prezent în topul verificat al municipiului; lista nu este exhaustivă.</t>
        </is>
      </c>
    </row>
    <row r="279">
      <c r="A279" t="n">
        <v>2024</v>
      </c>
      <c r="B279" t="inlineStr">
        <is>
          <t>40198</t>
        </is>
      </c>
      <c r="C279" t="inlineStr">
        <is>
          <t>Brașov</t>
        </is>
      </c>
      <c r="D279" t="inlineStr">
        <is>
          <t>Brașov</t>
        </is>
      </c>
      <c r="E279" t="inlineStr">
        <is>
          <t>83.02</t>
        </is>
      </c>
      <c r="F279" t="inlineStr">
        <is>
          <t>Agricultura, silvicultura, piscicultura si vanatoare</t>
        </is>
      </c>
      <c r="G279" t="n">
        <v>429</v>
      </c>
      <c r="H279" t="n">
        <v>0.02</v>
      </c>
      <c r="I279" t="n">
        <v>1.81</v>
      </c>
      <c r="J279" t="inlineStr">
        <is>
          <t>Capitol prezent în topul verificat al municipiului; lista nu este exhaustivă.</t>
        </is>
      </c>
    </row>
    <row r="280">
      <c r="A280" t="n">
        <v>2024</v>
      </c>
      <c r="B280" t="inlineStr">
        <is>
          <t>42682</t>
        </is>
      </c>
      <c r="C280" t="inlineStr">
        <is>
          <t>Brăila</t>
        </is>
      </c>
      <c r="D280" t="inlineStr">
        <is>
          <t>Brăila</t>
        </is>
      </c>
      <c r="E280" t="inlineStr">
        <is>
          <t>84.02</t>
        </is>
      </c>
      <c r="F280" t="inlineStr">
        <is>
          <t>Transporturi</t>
        </is>
      </c>
      <c r="G280" t="n">
        <v>310627.2</v>
      </c>
      <c r="H280" t="n">
        <v>35.19</v>
      </c>
      <c r="I280" t="n">
        <v>2008.11</v>
      </c>
      <c r="J280" t="inlineStr">
        <is>
          <t>Capitol prezent în topul verificat al municipiului; lista nu este exhaustivă.</t>
        </is>
      </c>
    </row>
    <row r="281">
      <c r="A281" t="n">
        <v>2024</v>
      </c>
      <c r="B281" t="inlineStr">
        <is>
          <t>42682</t>
        </is>
      </c>
      <c r="C281" t="inlineStr">
        <is>
          <t>Brăila</t>
        </is>
      </c>
      <c r="D281" t="inlineStr">
        <is>
          <t>Brăila</t>
        </is>
      </c>
      <c r="E281" t="inlineStr">
        <is>
          <t>68.02</t>
        </is>
      </c>
      <c r="F281" t="inlineStr">
        <is>
          <t>Asigurări și asistenfá socială</t>
        </is>
      </c>
      <c r="G281" t="n">
        <v>140240.01</v>
      </c>
      <c r="H281" t="n">
        <v>15.89</v>
      </c>
      <c r="I281" t="n">
        <v>906.61</v>
      </c>
      <c r="J281" t="inlineStr">
        <is>
          <t>Capitol prezent în topul verificat al municipiului; lista nu este exhaustivă.</t>
        </is>
      </c>
    </row>
    <row r="282">
      <c r="A282" t="n">
        <v>2024</v>
      </c>
      <c r="B282" t="inlineStr">
        <is>
          <t>42682</t>
        </is>
      </c>
      <c r="C282" t="inlineStr">
        <is>
          <t>Brăila</t>
        </is>
      </c>
      <c r="D282" t="inlineStr">
        <is>
          <t>Brăila</t>
        </is>
      </c>
      <c r="E282" t="inlineStr">
        <is>
          <t>65.02</t>
        </is>
      </c>
      <c r="F282" t="inlineStr">
        <is>
          <t>Invăjământ</t>
        </is>
      </c>
      <c r="G282" t="n">
        <v>126338.41</v>
      </c>
      <c r="H282" t="n">
        <v>14.31</v>
      </c>
      <c r="I282" t="n">
        <v>816.74</v>
      </c>
      <c r="J282" t="inlineStr">
        <is>
          <t>Capitol prezent în topul verificat al municipiului; lista nu este exhaustivă.</t>
        </is>
      </c>
    </row>
    <row r="283">
      <c r="A283" t="n">
        <v>2024</v>
      </c>
      <c r="B283" t="inlineStr">
        <is>
          <t>42682</t>
        </is>
      </c>
      <c r="C283" t="inlineStr">
        <is>
          <t>Brăila</t>
        </is>
      </c>
      <c r="D283" t="inlineStr">
        <is>
          <t>Brăila</t>
        </is>
      </c>
      <c r="E283" t="inlineStr">
        <is>
          <t>70.02</t>
        </is>
      </c>
      <c r="F283" t="inlineStr">
        <is>
          <t>Locuinfe, servicii și dezvoltare publică</t>
        </is>
      </c>
      <c r="G283" t="n">
        <v>72196.74000000001</v>
      </c>
      <c r="H283" t="n">
        <v>8.18</v>
      </c>
      <c r="I283" t="n">
        <v>466.73</v>
      </c>
      <c r="J283" t="inlineStr">
        <is>
          <t>Capitol prezent în topul verificat al municipiului; lista nu este exhaustivă.</t>
        </is>
      </c>
    </row>
    <row r="284">
      <c r="A284" t="n">
        <v>2024</v>
      </c>
      <c r="B284" t="inlineStr">
        <is>
          <t>42682</t>
        </is>
      </c>
      <c r="C284" t="inlineStr">
        <is>
          <t>Brăila</t>
        </is>
      </c>
      <c r="D284" t="inlineStr">
        <is>
          <t>Brăila</t>
        </is>
      </c>
      <c r="E284" t="inlineStr">
        <is>
          <t>51.02</t>
        </is>
      </c>
      <c r="F284" t="inlineStr">
        <is>
          <t>Autoritäfi publice și acțiuni externe</t>
        </is>
      </c>
      <c r="G284" t="n">
        <v>64938.32</v>
      </c>
      <c r="H284" t="n">
        <v>7.36</v>
      </c>
      <c r="I284" t="n">
        <v>419.81</v>
      </c>
      <c r="J284" t="inlineStr">
        <is>
          <t>Capitol prezent în topul verificat al municipiului; lista nu este exhaustivă.</t>
        </is>
      </c>
    </row>
    <row r="285">
      <c r="A285" t="n">
        <v>2024</v>
      </c>
      <c r="B285" t="inlineStr">
        <is>
          <t>42682</t>
        </is>
      </c>
      <c r="C285" t="inlineStr">
        <is>
          <t>Brăila</t>
        </is>
      </c>
      <c r="D285" t="inlineStr">
        <is>
          <t>Brăila</t>
        </is>
      </c>
      <c r="E285" t="inlineStr">
        <is>
          <t>74.02</t>
        </is>
      </c>
      <c r="F285" t="inlineStr">
        <is>
          <t>Protecfia mediului</t>
        </is>
      </c>
      <c r="G285" t="n">
        <v>60212.2</v>
      </c>
      <c r="H285" t="n">
        <v>6.82</v>
      </c>
      <c r="I285" t="n">
        <v>389.25</v>
      </c>
      <c r="J285" t="inlineStr">
        <is>
          <t>Capitol prezent în topul verificat al municipiului; lista nu este exhaustivă.</t>
        </is>
      </c>
    </row>
    <row r="286">
      <c r="A286" t="n">
        <v>2024</v>
      </c>
      <c r="B286" t="inlineStr">
        <is>
          <t>42682</t>
        </is>
      </c>
      <c r="C286" t="inlineStr">
        <is>
          <t>Brăila</t>
        </is>
      </c>
      <c r="D286" t="inlineStr">
        <is>
          <t>Brăila</t>
        </is>
      </c>
      <c r="E286" t="inlineStr">
        <is>
          <t>67.02</t>
        </is>
      </c>
      <c r="F286" t="inlineStr">
        <is>
          <t>Cultura, recreere si religie</t>
        </is>
      </c>
      <c r="G286" t="n">
        <v>51895.3</v>
      </c>
      <c r="H286" t="n">
        <v>5.88</v>
      </c>
      <c r="I286" t="n">
        <v>335.49</v>
      </c>
      <c r="J286" t="inlineStr">
        <is>
          <t>Capitol prezent în topul verificat al municipiului; lista nu este exhaustivă.</t>
        </is>
      </c>
    </row>
    <row r="287">
      <c r="A287" t="n">
        <v>2024</v>
      </c>
      <c r="B287" t="inlineStr">
        <is>
          <t>42682</t>
        </is>
      </c>
      <c r="C287" t="inlineStr">
        <is>
          <t>Brăila</t>
        </is>
      </c>
      <c r="D287" t="inlineStr">
        <is>
          <t>Brăila</t>
        </is>
      </c>
      <c r="E287" t="inlineStr">
        <is>
          <t>66.02</t>
        </is>
      </c>
      <c r="F287" t="inlineStr">
        <is>
          <t>Sanatate</t>
        </is>
      </c>
      <c r="G287" t="n">
        <v>22891</v>
      </c>
      <c r="H287" t="n">
        <v>2.59</v>
      </c>
      <c r="I287" t="n">
        <v>147.98</v>
      </c>
      <c r="J287" t="inlineStr">
        <is>
          <t>Capitol prezent în topul verificat al municipiului; lista nu este exhaustivă.</t>
        </is>
      </c>
    </row>
    <row r="288">
      <c r="A288" t="n">
        <v>2024</v>
      </c>
      <c r="B288" t="inlineStr">
        <is>
          <t>42682</t>
        </is>
      </c>
      <c r="C288" t="inlineStr">
        <is>
          <t>Brăila</t>
        </is>
      </c>
      <c r="D288" t="inlineStr">
        <is>
          <t>Brăila</t>
        </is>
      </c>
      <c r="E288" t="inlineStr">
        <is>
          <t>61.02</t>
        </is>
      </c>
      <c r="F288" t="inlineStr">
        <is>
          <t>Ordine publică și siguramjă națională</t>
        </is>
      </c>
      <c r="G288" t="n">
        <v>20120.73</v>
      </c>
      <c r="H288" t="n">
        <v>2.28</v>
      </c>
      <c r="I288" t="n">
        <v>130.07</v>
      </c>
      <c r="J288" t="inlineStr">
        <is>
          <t>Capitol prezent în topul verificat al municipiului; lista nu este exhaustivă.</t>
        </is>
      </c>
    </row>
    <row r="289">
      <c r="A289" t="n">
        <v>2024</v>
      </c>
      <c r="B289" t="inlineStr">
        <is>
          <t>42682</t>
        </is>
      </c>
      <c r="C289" t="inlineStr">
        <is>
          <t>Brăila</t>
        </is>
      </c>
      <c r="D289" t="inlineStr">
        <is>
          <t>Brăila</t>
        </is>
      </c>
      <c r="E289" t="inlineStr">
        <is>
          <t>54.02</t>
        </is>
      </c>
      <c r="F289" t="inlineStr">
        <is>
          <t>Atte servicii publice generale</t>
        </is>
      </c>
      <c r="G289" t="n">
        <v>11434.35</v>
      </c>
      <c r="H289" t="n">
        <v>1.3</v>
      </c>
      <c r="I289" t="n">
        <v>73.92</v>
      </c>
      <c r="J289" t="inlineStr">
        <is>
          <t>Capitol prezent în topul verificat al municipiului; lista nu este exhaustivă.</t>
        </is>
      </c>
    </row>
    <row r="290">
      <c r="A290" t="n">
        <v>2024</v>
      </c>
      <c r="B290" t="inlineStr">
        <is>
          <t>179132</t>
        </is>
      </c>
      <c r="C290" t="inlineStr">
        <is>
          <t>București</t>
        </is>
      </c>
      <c r="D290" t="inlineStr">
        <is>
          <t>București</t>
        </is>
      </c>
      <c r="E290" t="inlineStr">
        <is>
          <t>66.02</t>
        </is>
      </c>
      <c r="F290" t="inlineStr">
        <is>
          <t>Sanatate</t>
        </is>
      </c>
      <c r="G290" t="n">
        <v>883560</v>
      </c>
      <c r="H290" t="n">
        <v>11.2</v>
      </c>
      <c r="I290" t="n">
        <v>514.61</v>
      </c>
      <c r="J290" t="inlineStr">
        <is>
          <t>Capitol prezent în topul verificat al municipiului; lista nu este exhaustivă.</t>
        </is>
      </c>
    </row>
    <row r="291">
      <c r="A291" t="n">
        <v>2024</v>
      </c>
      <c r="B291" t="inlineStr">
        <is>
          <t>179132</t>
        </is>
      </c>
      <c r="C291" t="inlineStr">
        <is>
          <t>București</t>
        </is>
      </c>
      <c r="D291" t="inlineStr">
        <is>
          <t>București</t>
        </is>
      </c>
      <c r="E291" t="inlineStr">
        <is>
          <t>67.02</t>
        </is>
      </c>
      <c r="F291" t="inlineStr">
        <is>
          <t>Cultura, recreere si religie</t>
        </is>
      </c>
      <c r="G291" t="n">
        <v>543549</v>
      </c>
      <c r="H291" t="n">
        <v>6.89</v>
      </c>
      <c r="I291" t="n">
        <v>316.58</v>
      </c>
      <c r="J291" t="inlineStr">
        <is>
          <t>Capitol prezent în topul verificat al municipiului; lista nu este exhaustivă.</t>
        </is>
      </c>
    </row>
    <row r="292">
      <c r="A292" t="n">
        <v>2024</v>
      </c>
      <c r="B292" t="inlineStr">
        <is>
          <t>179132</t>
        </is>
      </c>
      <c r="C292" t="inlineStr">
        <is>
          <t>București</t>
        </is>
      </c>
      <c r="D292" t="inlineStr">
        <is>
          <t>București</t>
        </is>
      </c>
      <c r="E292" t="inlineStr">
        <is>
          <t>55.02</t>
        </is>
      </c>
      <c r="F292" t="inlineStr">
        <is>
          <t>Tranzactii privind datoria publica si imprumuturi</t>
        </is>
      </c>
      <c r="G292" t="n">
        <v>293154</v>
      </c>
      <c r="H292" t="n">
        <v>3.71</v>
      </c>
      <c r="I292" t="n">
        <v>170.74</v>
      </c>
      <c r="J292" t="inlineStr">
        <is>
          <t>Capitol prezent în topul verificat al municipiului; lista nu este exhaustivă.</t>
        </is>
      </c>
    </row>
    <row r="293">
      <c r="A293" t="n">
        <v>2024</v>
      </c>
      <c r="B293" t="inlineStr">
        <is>
          <t>179132</t>
        </is>
      </c>
      <c r="C293" t="inlineStr">
        <is>
          <t>București</t>
        </is>
      </c>
      <c r="D293" t="inlineStr">
        <is>
          <t>București</t>
        </is>
      </c>
      <c r="E293" t="inlineStr">
        <is>
          <t>74.02</t>
        </is>
      </c>
      <c r="F293" t="inlineStr">
        <is>
          <t>Protectia mediului</t>
        </is>
      </c>
      <c r="G293" t="n">
        <v>150549</v>
      </c>
      <c r="H293" t="n">
        <v>1.91</v>
      </c>
      <c r="I293" t="n">
        <v>87.68000000000001</v>
      </c>
      <c r="J293" t="inlineStr">
        <is>
          <t>Capitol prezent în topul verificat al municipiului; lista nu este exhaustivă.</t>
        </is>
      </c>
    </row>
    <row r="294">
      <c r="A294" t="n">
        <v>2024</v>
      </c>
      <c r="B294" t="inlineStr">
        <is>
          <t>179132</t>
        </is>
      </c>
      <c r="C294" t="inlineStr">
        <is>
          <t>București</t>
        </is>
      </c>
      <c r="D294" t="inlineStr">
        <is>
          <t>București</t>
        </is>
      </c>
      <c r="E294" t="inlineStr">
        <is>
          <t>54.02</t>
        </is>
      </c>
      <c r="F294" t="inlineStr">
        <is>
          <t>Alte servicii publice generale</t>
        </is>
      </c>
      <c r="G294" t="n">
        <v>32762</v>
      </c>
      <c r="H294" t="n">
        <v>0.42</v>
      </c>
      <c r="I294" t="n">
        <v>19.08</v>
      </c>
      <c r="J294" t="inlineStr">
        <is>
          <t>Capitol prezent în topul verificat al municipiului; lista nu este exhaustivă.</t>
        </is>
      </c>
    </row>
    <row r="295">
      <c r="A295" t="n">
        <v>2024</v>
      </c>
      <c r="B295" t="inlineStr">
        <is>
          <t>179132</t>
        </is>
      </c>
      <c r="C295" t="inlineStr">
        <is>
          <t>București</t>
        </is>
      </c>
      <c r="D295" t="inlineStr">
        <is>
          <t>București</t>
        </is>
      </c>
      <c r="E295" t="inlineStr">
        <is>
          <t>54.10</t>
        </is>
      </c>
      <c r="F295" t="inlineStr">
        <is>
          <t>Servicii publice comunitare de evidenta a persoanelor</t>
        </is>
      </c>
      <c r="G295" t="n">
        <v>12619</v>
      </c>
      <c r="H295" t="n">
        <v>0.16</v>
      </c>
      <c r="I295" t="n">
        <v>7.35</v>
      </c>
      <c r="J295" t="inlineStr">
        <is>
          <t>Capitol prezent în topul verificat al municipiului; lista nu este exhaustivă.</t>
        </is>
      </c>
    </row>
    <row r="296">
      <c r="A296" t="n">
        <v>2024</v>
      </c>
      <c r="B296" t="inlineStr">
        <is>
          <t>179132</t>
        </is>
      </c>
      <c r="C296" t="inlineStr">
        <is>
          <t>București</t>
        </is>
      </c>
      <c r="D296" t="inlineStr">
        <is>
          <t>București</t>
        </is>
      </c>
      <c r="E296" t="inlineStr">
        <is>
          <t>83.02</t>
        </is>
      </c>
      <c r="F296" t="inlineStr">
        <is>
          <t>Agricultura, silvicultura, piscicultura si vanatoare</t>
        </is>
      </c>
      <c r="G296" t="n">
        <v>4506</v>
      </c>
      <c r="H296" t="n">
        <v>0.06</v>
      </c>
      <c r="I296" t="n">
        <v>2.62</v>
      </c>
      <c r="J296" t="inlineStr">
        <is>
          <t>Capitol prezent în topul verificat al municipiului; lista nu este exhaustivă.</t>
        </is>
      </c>
    </row>
    <row r="297">
      <c r="A297" t="n">
        <v>2024</v>
      </c>
      <c r="B297" t="inlineStr">
        <is>
          <t>179132</t>
        </is>
      </c>
      <c r="C297" t="inlineStr">
        <is>
          <t>București</t>
        </is>
      </c>
      <c r="D297" t="inlineStr">
        <is>
          <t>București</t>
        </is>
      </c>
      <c r="E297" t="inlineStr">
        <is>
          <t>87.02</t>
        </is>
      </c>
      <c r="F297" t="inlineStr">
        <is>
          <t>Alte actiuni economice</t>
        </is>
      </c>
      <c r="G297" t="n">
        <v>500</v>
      </c>
      <c r="H297" t="n">
        <v>0.01</v>
      </c>
      <c r="I297" t="n">
        <v>0.29</v>
      </c>
      <c r="J297" t="inlineStr">
        <is>
          <t>Capitol prezent în topul verificat al municipiului; lista nu este exhaustivă.</t>
        </is>
      </c>
    </row>
    <row r="298">
      <c r="A298" t="n">
        <v>2024</v>
      </c>
      <c r="B298" t="inlineStr">
        <is>
          <t>179132</t>
        </is>
      </c>
      <c r="C298" t="inlineStr">
        <is>
          <t>București</t>
        </is>
      </c>
      <c r="D298" t="inlineStr">
        <is>
          <t>București</t>
        </is>
      </c>
      <c r="E298" t="inlineStr">
        <is>
          <t>60.02</t>
        </is>
      </c>
      <c r="F298" t="inlineStr">
        <is>
          <t>Aparare nationala</t>
        </is>
      </c>
      <c r="G298" t="n">
        <v>482</v>
      </c>
      <c r="H298" t="n">
        <v>0.01</v>
      </c>
      <c r="I298" t="n">
        <v>0.28</v>
      </c>
      <c r="J298" t="inlineStr">
        <is>
          <t>Capitol prezent în topul verificat al municipiului; lista nu este exhaustivă.</t>
        </is>
      </c>
    </row>
    <row r="299">
      <c r="A299" t="n">
        <v>2024</v>
      </c>
      <c r="B299" t="inlineStr">
        <is>
          <t>44818</t>
        </is>
      </c>
      <c r="C299" t="inlineStr">
        <is>
          <t>Buzău</t>
        </is>
      </c>
      <c r="D299" t="inlineStr">
        <is>
          <t>Buzău</t>
        </is>
      </c>
      <c r="E299" t="inlineStr">
        <is>
          <t>51.02</t>
        </is>
      </c>
      <c r="F299" t="inlineStr">
        <is>
          <t>Autoritati publice si actiuni externe</t>
        </is>
      </c>
      <c r="G299" t="n">
        <v>70110</v>
      </c>
      <c r="H299" t="n">
        <v>10.16</v>
      </c>
      <c r="I299" t="n">
        <v>677.52</v>
      </c>
      <c r="J299" t="inlineStr">
        <is>
          <t>Capitol prezent în topul verificat al municipiului; lista nu este exhaustivă.</t>
        </is>
      </c>
    </row>
    <row r="300">
      <c r="A300" t="n">
        <v>2024</v>
      </c>
      <c r="B300" t="inlineStr">
        <is>
          <t>44818</t>
        </is>
      </c>
      <c r="C300" t="inlineStr">
        <is>
          <t>Buzău</t>
        </is>
      </c>
      <c r="D300" t="inlineStr">
        <is>
          <t>Buzău</t>
        </is>
      </c>
      <c r="E300" t="inlineStr">
        <is>
          <t>61.02</t>
        </is>
      </c>
      <c r="F300" t="inlineStr">
        <is>
          <t>Ordine publica si siguranta nationala</t>
        </is>
      </c>
      <c r="G300" t="n">
        <v>26670</v>
      </c>
      <c r="H300" t="n">
        <v>3.87</v>
      </c>
      <c r="I300" t="n">
        <v>257.73</v>
      </c>
      <c r="J300" t="inlineStr">
        <is>
          <t>Capitol prezent în topul verificat al municipiului; lista nu este exhaustivă.</t>
        </is>
      </c>
    </row>
    <row r="301">
      <c r="A301" t="n">
        <v>2024</v>
      </c>
      <c r="B301" t="inlineStr">
        <is>
          <t>44818</t>
        </is>
      </c>
      <c r="C301" t="inlineStr">
        <is>
          <t>Buzău</t>
        </is>
      </c>
      <c r="D301" t="inlineStr">
        <is>
          <t>Buzău</t>
        </is>
      </c>
      <c r="E301" t="inlineStr">
        <is>
          <t>66.02</t>
        </is>
      </c>
      <c r="F301" t="inlineStr">
        <is>
          <t>Sanatate</t>
        </is>
      </c>
      <c r="G301" t="n">
        <v>15271</v>
      </c>
      <c r="H301" t="n">
        <v>2.21</v>
      </c>
      <c r="I301" t="n">
        <v>147.57</v>
      </c>
      <c r="J301" t="inlineStr">
        <is>
          <t>Capitol prezent în topul verificat al municipiului; lista nu este exhaustivă.</t>
        </is>
      </c>
    </row>
    <row r="302">
      <c r="A302" t="n">
        <v>2024</v>
      </c>
      <c r="B302" t="inlineStr">
        <is>
          <t>44818</t>
        </is>
      </c>
      <c r="C302" t="inlineStr">
        <is>
          <t>Buzău</t>
        </is>
      </c>
      <c r="D302" t="inlineStr">
        <is>
          <t>Buzău</t>
        </is>
      </c>
      <c r="E302" t="inlineStr">
        <is>
          <t>55.02</t>
        </is>
      </c>
      <c r="F302" t="inlineStr">
        <is>
          <t>Tranzactii privind datoria publica si imprumuturi ()</t>
        </is>
      </c>
      <c r="G302" t="n">
        <v>9600</v>
      </c>
      <c r="H302" t="n">
        <v>1.39</v>
      </c>
      <c r="I302" t="n">
        <v>92.77</v>
      </c>
      <c r="J302" t="inlineStr">
        <is>
          <t>Capitol prezent în topul verificat al municipiului; lista nu este exhaustivă.</t>
        </is>
      </c>
    </row>
    <row r="303">
      <c r="A303" t="n">
        <v>2024</v>
      </c>
      <c r="B303" t="inlineStr">
        <is>
          <t>44818</t>
        </is>
      </c>
      <c r="C303" t="inlineStr">
        <is>
          <t>Buzău</t>
        </is>
      </c>
      <c r="D303" t="inlineStr">
        <is>
          <t>Buzău</t>
        </is>
      </c>
      <c r="E303" t="inlineStr">
        <is>
          <t>80.02</t>
        </is>
      </c>
      <c r="F303" t="inlineStr">
        <is>
          <t>Actiuni generale economice, comerciale si de munca</t>
        </is>
      </c>
      <c r="G303" t="n">
        <v>715</v>
      </c>
      <c r="H303" t="n">
        <v>0.1</v>
      </c>
      <c r="I303" t="n">
        <v>6.91</v>
      </c>
      <c r="J303" t="inlineStr">
        <is>
          <t>Capitol prezent în topul verificat al municipiului; lista nu este exhaustivă.</t>
        </is>
      </c>
    </row>
    <row r="304">
      <c r="A304" t="n">
        <v>2024</v>
      </c>
      <c r="B304" t="inlineStr">
        <is>
          <t>50790</t>
        </is>
      </c>
      <c r="C304" t="inlineStr">
        <is>
          <t>Reșița</t>
        </is>
      </c>
      <c r="D304" t="inlineStr">
        <is>
          <t>Caraș-Severin</t>
        </is>
      </c>
      <c r="E304" t="inlineStr">
        <is>
          <t>70.02</t>
        </is>
      </c>
      <c r="F304" t="inlineStr">
        <is>
          <t>LOCUINTE, SERVICII SI DEZVOLTARE</t>
        </is>
      </c>
      <c r="G304" t="n">
        <v>485803.89</v>
      </c>
      <c r="H304" t="n">
        <v>76.67</v>
      </c>
      <c r="I304" t="n">
        <v>8319.559999999999</v>
      </c>
      <c r="J304" t="inlineStr">
        <is>
          <t>Capitol prezent în topul verificat al municipiului; lista nu este exhaustivă.</t>
        </is>
      </c>
    </row>
    <row r="305">
      <c r="A305" t="n">
        <v>2024</v>
      </c>
      <c r="B305" t="inlineStr">
        <is>
          <t>50790</t>
        </is>
      </c>
      <c r="C305" t="inlineStr">
        <is>
          <t>Reșița</t>
        </is>
      </c>
      <c r="D305" t="inlineStr">
        <is>
          <t>Caraș-Severin</t>
        </is>
      </c>
      <c r="E305" t="inlineStr">
        <is>
          <t>68.02</t>
        </is>
      </c>
      <c r="F305" t="inlineStr">
        <is>
          <t>ASIGURARI SI ASISTENTA SOCIALA</t>
        </is>
      </c>
      <c r="G305" t="n">
        <v>36786</v>
      </c>
      <c r="H305" t="n">
        <v>5.81</v>
      </c>
      <c r="I305" t="n">
        <v>629.97</v>
      </c>
      <c r="J305" t="inlineStr">
        <is>
          <t>Capitol prezent în topul verificat al municipiului; lista nu este exhaustivă.</t>
        </is>
      </c>
    </row>
    <row r="306">
      <c r="A306" t="n">
        <v>2024</v>
      </c>
      <c r="B306" t="inlineStr">
        <is>
          <t>50790</t>
        </is>
      </c>
      <c r="C306" t="inlineStr">
        <is>
          <t>Reșița</t>
        </is>
      </c>
      <c r="D306" t="inlineStr">
        <is>
          <t>Caraș-Severin</t>
        </is>
      </c>
      <c r="E306" t="inlineStr">
        <is>
          <t>51.02</t>
        </is>
      </c>
      <c r="F306" t="inlineStr">
        <is>
          <t>AUTORITATI PUBLICE SI ACTIUNI EXTERNE</t>
        </is>
      </c>
      <c r="G306" t="n">
        <v>31727.87</v>
      </c>
      <c r="H306" t="n">
        <v>5.01</v>
      </c>
      <c r="I306" t="n">
        <v>543.35</v>
      </c>
      <c r="J306" t="inlineStr">
        <is>
          <t>Capitol prezent în topul verificat al municipiului; lista nu este exhaustivă.</t>
        </is>
      </c>
    </row>
    <row r="307">
      <c r="A307" t="n">
        <v>2024</v>
      </c>
      <c r="B307" t="inlineStr">
        <is>
          <t>50790</t>
        </is>
      </c>
      <c r="C307" t="inlineStr">
        <is>
          <t>Reșița</t>
        </is>
      </c>
      <c r="D307" t="inlineStr">
        <is>
          <t>Caraș-Severin</t>
        </is>
      </c>
      <c r="E307" t="inlineStr">
        <is>
          <t>67.02</t>
        </is>
      </c>
      <c r="F307" t="inlineStr">
        <is>
          <t>CULTURA, RECREERE SI RELIGIE</t>
        </is>
      </c>
      <c r="G307" t="n">
        <v>22404.85</v>
      </c>
      <c r="H307" t="n">
        <v>3.54</v>
      </c>
      <c r="I307" t="n">
        <v>383.69</v>
      </c>
      <c r="J307" t="inlineStr">
        <is>
          <t>Capitol prezent în topul verificat al municipiului; lista nu este exhaustivă.</t>
        </is>
      </c>
    </row>
    <row r="308">
      <c r="A308" t="n">
        <v>2024</v>
      </c>
      <c r="B308" t="inlineStr">
        <is>
          <t>50790</t>
        </is>
      </c>
      <c r="C308" t="inlineStr">
        <is>
          <t>Reșița</t>
        </is>
      </c>
      <c r="D308" t="inlineStr">
        <is>
          <t>Caraș-Severin</t>
        </is>
      </c>
      <c r="E308" t="inlineStr">
        <is>
          <t>65.02</t>
        </is>
      </c>
      <c r="F308" t="inlineStr">
        <is>
          <t>INVATAMANT</t>
        </is>
      </c>
      <c r="G308" t="n">
        <v>17550.7</v>
      </c>
      <c r="H308" t="n">
        <v>2.77</v>
      </c>
      <c r="I308" t="n">
        <v>300.56</v>
      </c>
      <c r="J308" t="inlineStr">
        <is>
          <t>Capitol prezent în topul verificat al municipiului; lista nu este exhaustivă.</t>
        </is>
      </c>
    </row>
    <row r="309">
      <c r="A309" t="n">
        <v>2024</v>
      </c>
      <c r="B309" t="inlineStr">
        <is>
          <t>50790</t>
        </is>
      </c>
      <c r="C309" t="inlineStr">
        <is>
          <t>Reșița</t>
        </is>
      </c>
      <c r="D309" t="inlineStr">
        <is>
          <t>Caraș-Severin</t>
        </is>
      </c>
      <c r="E309" t="inlineStr">
        <is>
          <t>84.02</t>
        </is>
      </c>
      <c r="F309" t="inlineStr">
        <is>
          <t>TRANSPORTURI</t>
        </is>
      </c>
      <c r="G309" t="n">
        <v>17179</v>
      </c>
      <c r="H309" t="n">
        <v>2.71</v>
      </c>
      <c r="I309" t="n">
        <v>294.2</v>
      </c>
      <c r="J309" t="inlineStr">
        <is>
          <t>Capitol prezent în topul verificat al municipiului; lista nu este exhaustivă.</t>
        </is>
      </c>
    </row>
    <row r="310">
      <c r="A310" t="n">
        <v>2024</v>
      </c>
      <c r="B310" t="inlineStr">
        <is>
          <t>50790</t>
        </is>
      </c>
      <c r="C310" t="inlineStr">
        <is>
          <t>Reșița</t>
        </is>
      </c>
      <c r="D310" t="inlineStr">
        <is>
          <t>Caraș-Severin</t>
        </is>
      </c>
      <c r="E310" t="inlineStr">
        <is>
          <t>55.02</t>
        </is>
      </c>
      <c r="F310" t="inlineStr">
        <is>
          <t>TRANZACTII PRIVIND DATORIA PUBLICA SI IMPRUMUTURI</t>
        </is>
      </c>
      <c r="G310" t="n">
        <v>6527.5</v>
      </c>
      <c r="H310" t="n">
        <v>1.03</v>
      </c>
      <c r="I310" t="n">
        <v>111.79</v>
      </c>
      <c r="J310" t="inlineStr">
        <is>
          <t>Capitol prezent în topul verificat al municipiului; lista nu este exhaustivă.</t>
        </is>
      </c>
    </row>
    <row r="311">
      <c r="A311" t="n">
        <v>2024</v>
      </c>
      <c r="B311" t="inlineStr">
        <is>
          <t>50790</t>
        </is>
      </c>
      <c r="C311" t="inlineStr">
        <is>
          <t>Reșița</t>
        </is>
      </c>
      <c r="D311" t="inlineStr">
        <is>
          <t>Caraș-Severin</t>
        </is>
      </c>
      <c r="E311" t="inlineStr">
        <is>
          <t>61.02</t>
        </is>
      </c>
      <c r="F311" t="inlineStr">
        <is>
          <t>ORDINE PUBLICA SI SIGURANTA NATIONALA</t>
        </is>
      </c>
      <c r="G311" t="n">
        <v>5325</v>
      </c>
      <c r="H311" t="n">
        <v>0.84</v>
      </c>
      <c r="I311" t="n">
        <v>91.19</v>
      </c>
      <c r="J311" t="inlineStr">
        <is>
          <t>Capitol prezent în topul verificat al municipiului; lista nu este exhaustivă.</t>
        </is>
      </c>
    </row>
    <row r="312">
      <c r="A312" t="n">
        <v>2024</v>
      </c>
      <c r="B312" t="inlineStr">
        <is>
          <t>50790</t>
        </is>
      </c>
      <c r="C312" t="inlineStr">
        <is>
          <t>Reșița</t>
        </is>
      </c>
      <c r="D312" t="inlineStr">
        <is>
          <t>Caraș-Severin</t>
        </is>
      </c>
      <c r="E312" t="inlineStr">
        <is>
          <t>66.02</t>
        </is>
      </c>
      <c r="F312" t="inlineStr">
        <is>
          <t>SANATATE</t>
        </is>
      </c>
      <c r="G312" t="n">
        <v>4790</v>
      </c>
      <c r="H312" t="n">
        <v>0.76</v>
      </c>
      <c r="I312" t="n">
        <v>82.03</v>
      </c>
      <c r="J312" t="inlineStr">
        <is>
          <t>Capitol prezent în topul verificat al municipiului; lista nu este exhaustivă.</t>
        </is>
      </c>
    </row>
    <row r="313">
      <c r="A313" t="n">
        <v>2024</v>
      </c>
      <c r="B313" t="inlineStr">
        <is>
          <t>50790</t>
        </is>
      </c>
      <c r="C313" t="inlineStr">
        <is>
          <t>Reșița</t>
        </is>
      </c>
      <c r="D313" t="inlineStr">
        <is>
          <t>Caraș-Severin</t>
        </is>
      </c>
      <c r="E313" t="inlineStr">
        <is>
          <t>74.02</t>
        </is>
      </c>
      <c r="F313" t="inlineStr">
        <is>
          <t>PROTECTIA MEDIULUI</t>
        </is>
      </c>
      <c r="G313" t="n">
        <v>4501</v>
      </c>
      <c r="H313" t="n">
        <v>0.71</v>
      </c>
      <c r="I313" t="n">
        <v>77.08</v>
      </c>
      <c r="J313" t="inlineStr">
        <is>
          <t>Capitol prezent în topul verificat al municipiului; lista nu este exhaustivă.</t>
        </is>
      </c>
    </row>
    <row r="314">
      <c r="A314" t="n">
        <v>2024</v>
      </c>
      <c r="B314" t="inlineStr">
        <is>
          <t>54975</t>
        </is>
      </c>
      <c r="C314" t="inlineStr">
        <is>
          <t>Cluj-Napoca</t>
        </is>
      </c>
      <c r="D314" t="inlineStr">
        <is>
          <t>Cluj</t>
        </is>
      </c>
      <c r="E314" t="inlineStr">
        <is>
          <t>65.02</t>
        </is>
      </c>
      <c r="F314" t="inlineStr">
        <is>
          <t>Invatamant</t>
        </is>
      </c>
      <c r="G314" t="n">
        <v>560975000</v>
      </c>
      <c r="H314" t="n">
        <v>18720.3</v>
      </c>
      <c r="I314" t="n">
        <v>1957358.39</v>
      </c>
      <c r="J314" t="inlineStr">
        <is>
          <t>Capitol prezent în topul verificat al municipiului; lista nu este exhaustivă.</t>
        </is>
      </c>
    </row>
    <row r="315">
      <c r="A315" t="n">
        <v>2024</v>
      </c>
      <c r="B315" t="inlineStr">
        <is>
          <t>54975</t>
        </is>
      </c>
      <c r="C315" t="inlineStr">
        <is>
          <t>Cluj-Napoca</t>
        </is>
      </c>
      <c r="D315" t="inlineStr">
        <is>
          <t>Cluj</t>
        </is>
      </c>
      <c r="E315" t="inlineStr">
        <is>
          <t>81.02</t>
        </is>
      </c>
      <c r="F315" t="inlineStr">
        <is>
          <t>Combustibili si energie</t>
        </is>
      </c>
      <c r="G315" t="n">
        <v>73000000</v>
      </c>
      <c r="H315" t="n">
        <v>2436.08</v>
      </c>
      <c r="I315" t="n">
        <v>254712.18</v>
      </c>
      <c r="J315" t="inlineStr">
        <is>
          <t>Capitol prezent în topul verificat al municipiului; lista nu este exhaustivă.</t>
        </is>
      </c>
    </row>
    <row r="316">
      <c r="A316" t="n">
        <v>2024</v>
      </c>
      <c r="B316" t="inlineStr">
        <is>
          <t>54975</t>
        </is>
      </c>
      <c r="C316" t="inlineStr">
        <is>
          <t>Cluj-Napoca</t>
        </is>
      </c>
      <c r="D316" t="inlineStr">
        <is>
          <t>Cluj</t>
        </is>
      </c>
      <c r="E316" t="inlineStr">
        <is>
          <t>66.02</t>
        </is>
      </c>
      <c r="F316" t="inlineStr">
        <is>
          <t>Sanatate</t>
        </is>
      </c>
      <c r="G316" t="n">
        <v>60881000</v>
      </c>
      <c r="H316" t="n">
        <v>2031.66</v>
      </c>
      <c r="I316" t="n">
        <v>212426.46</v>
      </c>
      <c r="J316" t="inlineStr">
        <is>
          <t>Capitol prezent în topul verificat al municipiului; lista nu este exhaustivă.</t>
        </is>
      </c>
    </row>
    <row r="317">
      <c r="A317" t="n">
        <v>2024</v>
      </c>
      <c r="B317" t="inlineStr">
        <is>
          <t>54975</t>
        </is>
      </c>
      <c r="C317" t="inlineStr">
        <is>
          <t>Cluj-Napoca</t>
        </is>
      </c>
      <c r="D317" t="inlineStr">
        <is>
          <t>Cluj</t>
        </is>
      </c>
      <c r="E317" t="inlineStr">
        <is>
          <t>55.02</t>
        </is>
      </c>
      <c r="F317" t="inlineStr">
        <is>
          <t>Tranzactii privind datoria publica si imprumuturi</t>
        </is>
      </c>
      <c r="G317" t="n">
        <v>34912000</v>
      </c>
      <c r="H317" t="n">
        <v>1165.05</v>
      </c>
      <c r="I317" t="n">
        <v>121815.23</v>
      </c>
      <c r="J317" t="inlineStr">
        <is>
          <t>Capitol prezent în topul verificat al municipiului; lista nu este exhaustivă.</t>
        </is>
      </c>
    </row>
    <row r="318">
      <c r="A318" t="n">
        <v>2024</v>
      </c>
      <c r="B318" t="inlineStr">
        <is>
          <t>54975</t>
        </is>
      </c>
      <c r="C318" t="inlineStr">
        <is>
          <t>Cluj-Napoca</t>
        </is>
      </c>
      <c r="D318" t="inlineStr">
        <is>
          <t>Cluj</t>
        </is>
      </c>
      <c r="E318" t="inlineStr">
        <is>
          <t>54.02</t>
        </is>
      </c>
      <c r="F318" t="inlineStr">
        <is>
          <t>Alte servicii publice generale</t>
        </is>
      </c>
      <c r="G318" t="n">
        <v>14672000</v>
      </c>
      <c r="H318" t="n">
        <v>489.62</v>
      </c>
      <c r="I318" t="n">
        <v>51193.66</v>
      </c>
      <c r="J318" t="inlineStr">
        <is>
          <t>Capitol prezent în topul verificat al municipiului; lista nu este exhaustivă.</t>
        </is>
      </c>
    </row>
    <row r="319">
      <c r="A319" t="n">
        <v>2024</v>
      </c>
      <c r="B319" t="inlineStr">
        <is>
          <t>54975</t>
        </is>
      </c>
      <c r="C319" t="inlineStr">
        <is>
          <t>Cluj-Napoca</t>
        </is>
      </c>
      <c r="D319" t="inlineStr">
        <is>
          <t>Cluj</t>
        </is>
      </c>
      <c r="E319" t="inlineStr">
        <is>
          <t>83.02</t>
        </is>
      </c>
      <c r="F319" t="inlineStr">
        <is>
          <t>Agricultura, silvicultura, piscicultura si vanatoare</t>
        </is>
      </c>
      <c r="G319" t="n">
        <v>300000</v>
      </c>
      <c r="H319" t="n">
        <v>10.01</v>
      </c>
      <c r="I319" t="n">
        <v>1046.76</v>
      </c>
      <c r="J319" t="inlineStr">
        <is>
          <t>Capitol prezent în topul verificat al municipiului; lista nu este exhaustivă.</t>
        </is>
      </c>
    </row>
    <row r="320">
      <c r="A320" t="n">
        <v>2024</v>
      </c>
      <c r="B320" t="inlineStr">
        <is>
          <t>60419</t>
        </is>
      </c>
      <c r="C320" t="inlineStr">
        <is>
          <t>Constanța</t>
        </is>
      </c>
      <c r="D320" t="inlineStr">
        <is>
          <t>Constanța</t>
        </is>
      </c>
      <c r="E320" t="inlineStr">
        <is>
          <t>81.02</t>
        </is>
      </c>
      <c r="F320" t="inlineStr">
        <is>
          <t>Combustibili si energie Din total capitol:</t>
        </is>
      </c>
      <c r="G320" t="n">
        <v>603962</v>
      </c>
      <c r="H320" t="n">
        <v>26.34</v>
      </c>
      <c r="I320" t="n">
        <v>2290.44</v>
      </c>
      <c r="J320" t="inlineStr">
        <is>
          <t>Capitol prezent în topul verificat al municipiului; lista nu este exhaustivă.</t>
        </is>
      </c>
    </row>
    <row r="321">
      <c r="A321" t="n">
        <v>2024</v>
      </c>
      <c r="B321" t="inlineStr">
        <is>
          <t>60419</t>
        </is>
      </c>
      <c r="C321" t="inlineStr">
        <is>
          <t>Constanța</t>
        </is>
      </c>
      <c r="D321" t="inlineStr">
        <is>
          <t>Constanța</t>
        </is>
      </c>
      <c r="E321" t="inlineStr">
        <is>
          <t>74.02</t>
        </is>
      </c>
      <c r="F321" t="inlineStr">
        <is>
          <t>Protectia mediului Din total capitol:</t>
        </is>
      </c>
      <c r="G321" t="n">
        <v>235409</v>
      </c>
      <c r="H321" t="n">
        <v>10.27</v>
      </c>
      <c r="I321" t="n">
        <v>892.76</v>
      </c>
      <c r="J321" t="inlineStr">
        <is>
          <t>Capitol prezent în topul verificat al municipiului; lista nu este exhaustivă.</t>
        </is>
      </c>
    </row>
    <row r="322">
      <c r="A322" t="n">
        <v>2024</v>
      </c>
      <c r="B322" t="inlineStr">
        <is>
          <t>60419</t>
        </is>
      </c>
      <c r="C322" t="inlineStr">
        <is>
          <t>Constanța</t>
        </is>
      </c>
      <c r="D322" t="inlineStr">
        <is>
          <t>Constanța</t>
        </is>
      </c>
      <c r="E322" t="inlineStr">
        <is>
          <t>70.02</t>
        </is>
      </c>
      <c r="F322" t="inlineStr">
        <is>
          <t>Locuinte, servicii si dezvoltare publica Din total capitol:</t>
        </is>
      </c>
      <c r="G322" t="n">
        <v>210151</v>
      </c>
      <c r="H322" t="n">
        <v>9.17</v>
      </c>
      <c r="I322" t="n">
        <v>796.97</v>
      </c>
      <c r="J322" t="inlineStr">
        <is>
          <t>Capitol prezent în topul verificat al municipiului; lista nu este exhaustivă.</t>
        </is>
      </c>
    </row>
    <row r="323">
      <c r="A323" t="n">
        <v>2024</v>
      </c>
      <c r="B323" t="inlineStr">
        <is>
          <t>60419</t>
        </is>
      </c>
      <c r="C323" t="inlineStr">
        <is>
          <t>Constanța</t>
        </is>
      </c>
      <c r="D323" t="inlineStr">
        <is>
          <t>Constanța</t>
        </is>
      </c>
      <c r="E323" t="inlineStr">
        <is>
          <t>51.02</t>
        </is>
      </c>
      <c r="F323" t="inlineStr">
        <is>
          <t>Autoritati publice si actiuni externe Din total capitol:</t>
        </is>
      </c>
      <c r="G323" t="n">
        <v>135622</v>
      </c>
      <c r="H323" t="n">
        <v>5.92</v>
      </c>
      <c r="I323" t="n">
        <v>514.33</v>
      </c>
      <c r="J323" t="inlineStr">
        <is>
          <t>Capitol prezent în topul verificat al municipiului; lista nu este exhaustivă.</t>
        </is>
      </c>
    </row>
    <row r="324">
      <c r="A324" t="n">
        <v>2024</v>
      </c>
      <c r="B324" t="inlineStr">
        <is>
          <t>60419</t>
        </is>
      </c>
      <c r="C324" t="inlineStr">
        <is>
          <t>Constanța</t>
        </is>
      </c>
      <c r="D324" t="inlineStr">
        <is>
          <t>Constanța</t>
        </is>
      </c>
      <c r="E324" t="inlineStr">
        <is>
          <t>66.02</t>
        </is>
      </c>
      <c r="F324" t="inlineStr">
        <is>
          <t>Sanatate Din total capitol:</t>
        </is>
      </c>
      <c r="G324" t="n">
        <v>94070</v>
      </c>
      <c r="H324" t="n">
        <v>4.1</v>
      </c>
      <c r="I324" t="n">
        <v>356.75</v>
      </c>
      <c r="J324" t="inlineStr">
        <is>
          <t>Capitol prezent în topul verificat al municipiului; lista nu este exhaustivă.</t>
        </is>
      </c>
    </row>
    <row r="325">
      <c r="A325" t="n">
        <v>2024</v>
      </c>
      <c r="B325" t="inlineStr">
        <is>
          <t>60419</t>
        </is>
      </c>
      <c r="C325" t="inlineStr">
        <is>
          <t>Constanța</t>
        </is>
      </c>
      <c r="D325" t="inlineStr">
        <is>
          <t>Constanța</t>
        </is>
      </c>
      <c r="E325" t="inlineStr">
        <is>
          <t>84.02</t>
        </is>
      </c>
      <c r="F325" t="inlineStr">
        <is>
          <t>Transporturi Din total capitol:</t>
        </is>
      </c>
      <c r="G325" t="n">
        <v>87466</v>
      </c>
      <c r="H325" t="n">
        <v>3.82</v>
      </c>
      <c r="I325" t="n">
        <v>331.7</v>
      </c>
      <c r="J325" t="inlineStr">
        <is>
          <t>Capitol prezent în topul verificat al municipiului; lista nu este exhaustivă.</t>
        </is>
      </c>
    </row>
    <row r="326">
      <c r="A326" t="n">
        <v>2024</v>
      </c>
      <c r="B326" t="inlineStr">
        <is>
          <t>60419</t>
        </is>
      </c>
      <c r="C326" t="inlineStr">
        <is>
          <t>Constanța</t>
        </is>
      </c>
      <c r="D326" t="inlineStr">
        <is>
          <t>Constanța</t>
        </is>
      </c>
      <c r="E326" t="inlineStr">
        <is>
          <t>61.02</t>
        </is>
      </c>
      <c r="F326" t="inlineStr">
        <is>
          <t>Ordine publica si siguranta nationala Din total capitol:</t>
        </is>
      </c>
      <c r="G326" t="n">
        <v>57895</v>
      </c>
      <c r="H326" t="n">
        <v>2.53</v>
      </c>
      <c r="I326" t="n">
        <v>219.56</v>
      </c>
      <c r="J326" t="inlineStr">
        <is>
          <t>Capitol prezent în topul verificat al municipiului; lista nu este exhaustivă.</t>
        </is>
      </c>
    </row>
    <row r="327">
      <c r="A327" t="n">
        <v>2024</v>
      </c>
      <c r="B327" t="inlineStr">
        <is>
          <t>60419</t>
        </is>
      </c>
      <c r="C327" t="inlineStr">
        <is>
          <t>Constanța</t>
        </is>
      </c>
      <c r="D327" t="inlineStr">
        <is>
          <t>Constanța</t>
        </is>
      </c>
      <c r="E327" t="inlineStr">
        <is>
          <t>55.02</t>
        </is>
      </c>
      <c r="F327" t="inlineStr">
        <is>
          <t>Tranzacții privind datoria publică și împrumuturi</t>
        </is>
      </c>
      <c r="G327" t="n">
        <v>16674</v>
      </c>
      <c r="H327" t="n">
        <v>0.73</v>
      </c>
      <c r="I327" t="n">
        <v>63.23</v>
      </c>
      <c r="J327" t="inlineStr">
        <is>
          <t>Capitol prezent în topul verificat al municipiului; lista nu este exhaustivă.</t>
        </is>
      </c>
    </row>
    <row r="328">
      <c r="A328" t="n">
        <v>2024</v>
      </c>
      <c r="B328" t="inlineStr">
        <is>
          <t>60419</t>
        </is>
      </c>
      <c r="C328" t="inlineStr">
        <is>
          <t>Constanța</t>
        </is>
      </c>
      <c r="D328" t="inlineStr">
        <is>
          <t>Constanța</t>
        </is>
      </c>
      <c r="E328" t="inlineStr">
        <is>
          <t>87.02</t>
        </is>
      </c>
      <c r="F328" t="inlineStr">
        <is>
          <t>Alte actiuni economice Din total capitol:</t>
        </is>
      </c>
      <c r="G328" t="n">
        <v>3859</v>
      </c>
      <c r="H328" t="n">
        <v>0.17</v>
      </c>
      <c r="I328" t="n">
        <v>14.63</v>
      </c>
      <c r="J328" t="inlineStr">
        <is>
          <t>Capitol prezent în topul verificat al municipiului; lista nu este exhaustivă.</t>
        </is>
      </c>
    </row>
    <row r="329">
      <c r="A329" t="n">
        <v>2024</v>
      </c>
      <c r="B329" t="inlineStr">
        <is>
          <t>60419</t>
        </is>
      </c>
      <c r="C329" t="inlineStr">
        <is>
          <t>Constanța</t>
        </is>
      </c>
      <c r="D329" t="inlineStr">
        <is>
          <t>Constanța</t>
        </is>
      </c>
      <c r="E329" t="inlineStr">
        <is>
          <t>80.02</t>
        </is>
      </c>
      <c r="F329" t="inlineStr">
        <is>
          <t>Actiuni generale economice, comerciale si de munca Din total capitol:</t>
        </is>
      </c>
      <c r="G329" t="n">
        <v>2043</v>
      </c>
      <c r="H329" t="n">
        <v>0.09</v>
      </c>
      <c r="I329" t="n">
        <v>7.75</v>
      </c>
      <c r="J329" t="inlineStr">
        <is>
          <t>Capitol prezent în topul verificat al municipiului; lista nu este exhaustivă.</t>
        </is>
      </c>
    </row>
    <row r="330">
      <c r="A330" t="n">
        <v>2024</v>
      </c>
      <c r="B330" t="inlineStr">
        <is>
          <t>69900</t>
        </is>
      </c>
      <c r="C330" t="inlineStr">
        <is>
          <t>Craiova</t>
        </is>
      </c>
      <c r="D330" t="inlineStr">
        <is>
          <t>Dolj</t>
        </is>
      </c>
      <c r="E330" t="inlineStr">
        <is>
          <t>65.02</t>
        </is>
      </c>
      <c r="F330" t="inlineStr">
        <is>
          <t>Invatamant</t>
        </is>
      </c>
      <c r="G330" t="n">
        <v>236981</v>
      </c>
      <c r="H330" t="n">
        <v>19.21</v>
      </c>
      <c r="I330" t="n">
        <v>1012.13</v>
      </c>
      <c r="J330" t="inlineStr">
        <is>
          <t>Capitol prezent în topul verificat al municipiului; lista nu este exhaustivă.</t>
        </is>
      </c>
    </row>
    <row r="331">
      <c r="A331" t="n">
        <v>2024</v>
      </c>
      <c r="B331" t="inlineStr">
        <is>
          <t>69900</t>
        </is>
      </c>
      <c r="C331" t="inlineStr">
        <is>
          <t>Craiova</t>
        </is>
      </c>
      <c r="D331" t="inlineStr">
        <is>
          <t>Dolj</t>
        </is>
      </c>
      <c r="E331" t="inlineStr">
        <is>
          <t>51.02</t>
        </is>
      </c>
      <c r="F331" t="inlineStr">
        <is>
          <t>Autoritati publice si actiuni externe</t>
        </is>
      </c>
      <c r="G331" t="n">
        <v>177264</v>
      </c>
      <c r="H331" t="n">
        <v>14.37</v>
      </c>
      <c r="I331" t="n">
        <v>757.09</v>
      </c>
      <c r="J331" t="inlineStr">
        <is>
          <t>Capitol prezent în topul verificat al municipiului; lista nu este exhaustivă.</t>
        </is>
      </c>
    </row>
    <row r="332">
      <c r="A332" t="n">
        <v>2024</v>
      </c>
      <c r="B332" t="inlineStr">
        <is>
          <t>69900</t>
        </is>
      </c>
      <c r="C332" t="inlineStr">
        <is>
          <t>Craiova</t>
        </is>
      </c>
      <c r="D332" t="inlineStr">
        <is>
          <t>Dolj</t>
        </is>
      </c>
      <c r="E332" t="inlineStr">
        <is>
          <t>67.02</t>
        </is>
      </c>
      <c r="F332" t="inlineStr">
        <is>
          <t>Cultura, recreere si religie</t>
        </is>
      </c>
      <c r="G332" t="n">
        <v>156265</v>
      </c>
      <c r="H332" t="n">
        <v>12.67</v>
      </c>
      <c r="I332" t="n">
        <v>667.4</v>
      </c>
      <c r="J332" t="inlineStr">
        <is>
          <t>Capitol prezent în topul verificat al municipiului; lista nu este exhaustivă.</t>
        </is>
      </c>
    </row>
    <row r="333">
      <c r="A333" t="n">
        <v>2024</v>
      </c>
      <c r="B333" t="inlineStr">
        <is>
          <t>69900</t>
        </is>
      </c>
      <c r="C333" t="inlineStr">
        <is>
          <t>Craiova</t>
        </is>
      </c>
      <c r="D333" t="inlineStr">
        <is>
          <t>Dolj</t>
        </is>
      </c>
      <c r="E333" t="inlineStr">
        <is>
          <t>66.02</t>
        </is>
      </c>
      <c r="F333" t="inlineStr">
        <is>
          <t>Sanatate © INDSOFT-SICO - MUNICIPIUL CRAIOVA</t>
        </is>
      </c>
      <c r="G333" t="n">
        <v>138102</v>
      </c>
      <c r="H333" t="n">
        <v>11.19</v>
      </c>
      <c r="I333" t="n">
        <v>589.83</v>
      </c>
      <c r="J333" t="inlineStr">
        <is>
          <t>Capitol prezent în topul verificat al municipiului; lista nu este exhaustivă.</t>
        </is>
      </c>
    </row>
    <row r="334">
      <c r="A334" t="n">
        <v>2024</v>
      </c>
      <c r="B334" t="inlineStr">
        <is>
          <t>69900</t>
        </is>
      </c>
      <c r="C334" t="inlineStr">
        <is>
          <t>Craiova</t>
        </is>
      </c>
      <c r="D334" t="inlineStr">
        <is>
          <t>Dolj</t>
        </is>
      </c>
      <c r="E334" t="inlineStr">
        <is>
          <t>84.02</t>
        </is>
      </c>
      <c r="F334" t="inlineStr">
        <is>
          <t>Transporturi</t>
        </is>
      </c>
      <c r="G334" t="n">
        <v>127280</v>
      </c>
      <c r="H334" t="n">
        <v>10.32</v>
      </c>
      <c r="I334" t="n">
        <v>543.61</v>
      </c>
      <c r="J334" t="inlineStr">
        <is>
          <t>Capitol prezent în topul verificat al municipiului; lista nu este exhaustivă.</t>
        </is>
      </c>
    </row>
    <row r="335">
      <c r="A335" t="n">
        <v>2024</v>
      </c>
      <c r="B335" t="inlineStr">
        <is>
          <t>69900</t>
        </is>
      </c>
      <c r="C335" t="inlineStr">
        <is>
          <t>Craiova</t>
        </is>
      </c>
      <c r="D335" t="inlineStr">
        <is>
          <t>Dolj</t>
        </is>
      </c>
      <c r="E335" t="inlineStr">
        <is>
          <t>74.02</t>
        </is>
      </c>
      <c r="F335" t="inlineStr">
        <is>
          <t>Protectia mediului</t>
        </is>
      </c>
      <c r="G335" t="n">
        <v>125705</v>
      </c>
      <c r="H335" t="n">
        <v>10.19</v>
      </c>
      <c r="I335" t="n">
        <v>536.88</v>
      </c>
      <c r="J335" t="inlineStr">
        <is>
          <t>Capitol prezent în topul verificat al municipiului; lista nu este exhaustivă.</t>
        </is>
      </c>
    </row>
    <row r="336">
      <c r="A336" t="n">
        <v>2024</v>
      </c>
      <c r="B336" t="inlineStr">
        <is>
          <t>69900</t>
        </is>
      </c>
      <c r="C336" t="inlineStr">
        <is>
          <t>Craiova</t>
        </is>
      </c>
      <c r="D336" t="inlineStr">
        <is>
          <t>Dolj</t>
        </is>
      </c>
      <c r="E336" t="inlineStr">
        <is>
          <t>68.02</t>
        </is>
      </c>
      <c r="F336" t="inlineStr">
        <is>
          <t>Asigurari si asistenta sociala</t>
        </is>
      </c>
      <c r="G336" t="n">
        <v>101323</v>
      </c>
      <c r="H336" t="n">
        <v>8.210000000000001</v>
      </c>
      <c r="I336" t="n">
        <v>432.75</v>
      </c>
      <c r="J336" t="inlineStr">
        <is>
          <t>Capitol prezent în topul verificat al municipiului; lista nu este exhaustivă.</t>
        </is>
      </c>
    </row>
    <row r="337">
      <c r="A337" t="n">
        <v>2024</v>
      </c>
      <c r="B337" t="inlineStr">
        <is>
          <t>69900</t>
        </is>
      </c>
      <c r="C337" t="inlineStr">
        <is>
          <t>Craiova</t>
        </is>
      </c>
      <c r="D337" t="inlineStr">
        <is>
          <t>Dolj</t>
        </is>
      </c>
      <c r="E337" t="inlineStr">
        <is>
          <t>70.02</t>
        </is>
      </c>
      <c r="F337" t="inlineStr">
        <is>
          <t>Locuinte, servicii si dezvoltare publica</t>
        </is>
      </c>
      <c r="G337" t="n">
        <v>88721</v>
      </c>
      <c r="H337" t="n">
        <v>7.19</v>
      </c>
      <c r="I337" t="n">
        <v>378.92</v>
      </c>
      <c r="J337" t="inlineStr">
        <is>
          <t>Capitol prezent în topul verificat al municipiului; lista nu este exhaustivă.</t>
        </is>
      </c>
    </row>
    <row r="338">
      <c r="A338" t="n">
        <v>2024</v>
      </c>
      <c r="B338" t="inlineStr">
        <is>
          <t>69900</t>
        </is>
      </c>
      <c r="C338" t="inlineStr">
        <is>
          <t>Craiova</t>
        </is>
      </c>
      <c r="D338" t="inlineStr">
        <is>
          <t>Dolj</t>
        </is>
      </c>
      <c r="E338" t="inlineStr">
        <is>
          <t>61.02</t>
        </is>
      </c>
      <c r="F338" t="inlineStr">
        <is>
          <t>Ordine publica si siguranta nationala</t>
        </is>
      </c>
      <c r="G338" t="n">
        <v>34033</v>
      </c>
      <c r="H338" t="n">
        <v>2.76</v>
      </c>
      <c r="I338" t="n">
        <v>145.35</v>
      </c>
      <c r="J338" t="inlineStr">
        <is>
          <t>Capitol prezent în topul verificat al municipiului; lista nu este exhaustivă.</t>
        </is>
      </c>
    </row>
    <row r="339">
      <c r="A339" t="n">
        <v>2024</v>
      </c>
      <c r="B339" t="inlineStr">
        <is>
          <t>69900</t>
        </is>
      </c>
      <c r="C339" t="inlineStr">
        <is>
          <t>Craiova</t>
        </is>
      </c>
      <c r="D339" t="inlineStr">
        <is>
          <t>Dolj</t>
        </is>
      </c>
      <c r="E339" t="inlineStr">
        <is>
          <t>81.02</t>
        </is>
      </c>
      <c r="F339" t="inlineStr">
        <is>
          <t>Combustibili si energie</t>
        </is>
      </c>
      <c r="G339" t="n">
        <v>27694</v>
      </c>
      <c r="H339" t="n">
        <v>2.24</v>
      </c>
      <c r="I339" t="n">
        <v>118.28</v>
      </c>
      <c r="J339" t="inlineStr">
        <is>
          <t>Capitol prezent în topul verificat al municipiului; lista nu este exhaustivă.</t>
        </is>
      </c>
    </row>
    <row r="340">
      <c r="A340" t="n">
        <v>2024</v>
      </c>
      <c r="B340" t="inlineStr">
        <is>
          <t>65342</t>
        </is>
      </c>
      <c r="C340" t="inlineStr">
        <is>
          <t>Târgoviște</t>
        </is>
      </c>
      <c r="D340" t="inlineStr">
        <is>
          <t>Dâmbovița</t>
        </is>
      </c>
      <c r="E340" t="inlineStr">
        <is>
          <t>65.02</t>
        </is>
      </c>
      <c r="F340" t="inlineStr">
        <is>
          <t>Invatamant</t>
        </is>
      </c>
      <c r="G340" t="n">
        <v>132573.89</v>
      </c>
      <c r="H340" t="n">
        <v>21.97</v>
      </c>
      <c r="I340" t="n">
        <v>1979.75</v>
      </c>
      <c r="J340" t="inlineStr">
        <is>
          <t>Capitol prezent în topul verificat al municipiului; lista nu este exhaustivă.</t>
        </is>
      </c>
    </row>
    <row r="341">
      <c r="A341" t="n">
        <v>2024</v>
      </c>
      <c r="B341" t="inlineStr">
        <is>
          <t>65342</t>
        </is>
      </c>
      <c r="C341" t="inlineStr">
        <is>
          <t>Târgoviște</t>
        </is>
      </c>
      <c r="D341" t="inlineStr">
        <is>
          <t>Dâmbovița</t>
        </is>
      </c>
      <c r="E341" t="inlineStr">
        <is>
          <t>70.02</t>
        </is>
      </c>
      <c r="F341" t="inlineStr">
        <is>
          <t>Locuinte, servicii si dezvoltare publica</t>
        </is>
      </c>
      <c r="G341" t="n">
        <v>125956</v>
      </c>
      <c r="H341" t="n">
        <v>20.87</v>
      </c>
      <c r="I341" t="n">
        <v>1880.92</v>
      </c>
      <c r="J341" t="inlineStr">
        <is>
          <t>Capitol prezent în topul verificat al municipiului; lista nu este exhaustivă.</t>
        </is>
      </c>
    </row>
    <row r="342">
      <c r="A342" t="n">
        <v>2024</v>
      </c>
      <c r="B342" t="inlineStr">
        <is>
          <t>65342</t>
        </is>
      </c>
      <c r="C342" t="inlineStr">
        <is>
          <t>Târgoviște</t>
        </is>
      </c>
      <c r="D342" t="inlineStr">
        <is>
          <t>Dâmbovița</t>
        </is>
      </c>
      <c r="E342" t="inlineStr">
        <is>
          <t>84.02</t>
        </is>
      </c>
      <c r="F342" t="inlineStr">
        <is>
          <t>Transporturi</t>
        </is>
      </c>
      <c r="G342" t="n">
        <v>125058</v>
      </c>
      <c r="H342" t="n">
        <v>20.72</v>
      </c>
      <c r="I342" t="n">
        <v>1867.51</v>
      </c>
      <c r="J342" t="inlineStr">
        <is>
          <t>Capitol prezent în topul verificat al municipiului; lista nu este exhaustivă.</t>
        </is>
      </c>
    </row>
    <row r="343">
      <c r="A343" t="n">
        <v>2024</v>
      </c>
      <c r="B343" t="inlineStr">
        <is>
          <t>65342</t>
        </is>
      </c>
      <c r="C343" t="inlineStr">
        <is>
          <t>Târgoviște</t>
        </is>
      </c>
      <c r="D343" t="inlineStr">
        <is>
          <t>Dâmbovița</t>
        </is>
      </c>
      <c r="E343" t="inlineStr">
        <is>
          <t>68.02</t>
        </is>
      </c>
      <c r="F343" t="inlineStr">
        <is>
          <t>Asigurari si asistenta sociala</t>
        </is>
      </c>
      <c r="G343" t="n">
        <v>72021</v>
      </c>
      <c r="H343" t="n">
        <v>11.93</v>
      </c>
      <c r="I343" t="n">
        <v>1075.5</v>
      </c>
      <c r="J343" t="inlineStr">
        <is>
          <t>Capitol prezent în topul verificat al municipiului; lista nu este exhaustivă.</t>
        </is>
      </c>
    </row>
    <row r="344">
      <c r="A344" t="n">
        <v>2024</v>
      </c>
      <c r="B344" t="inlineStr">
        <is>
          <t>65342</t>
        </is>
      </c>
      <c r="C344" t="inlineStr">
        <is>
          <t>Târgoviște</t>
        </is>
      </c>
      <c r="D344" t="inlineStr">
        <is>
          <t>Dâmbovița</t>
        </is>
      </c>
      <c r="E344" t="inlineStr">
        <is>
          <t>54.02</t>
        </is>
      </c>
      <c r="F344" t="inlineStr">
        <is>
          <t>Alte servicii publice generale</t>
        </is>
      </c>
      <c r="G344" t="n">
        <v>32392</v>
      </c>
      <c r="H344" t="n">
        <v>5.37</v>
      </c>
      <c r="I344" t="n">
        <v>483.72</v>
      </c>
      <c r="J344" t="inlineStr">
        <is>
          <t>Capitol prezent în topul verificat al municipiului; lista nu este exhaustivă.</t>
        </is>
      </c>
    </row>
    <row r="345">
      <c r="A345" t="n">
        <v>2024</v>
      </c>
      <c r="B345" t="inlineStr">
        <is>
          <t>65342</t>
        </is>
      </c>
      <c r="C345" t="inlineStr">
        <is>
          <t>Târgoviște</t>
        </is>
      </c>
      <c r="D345" t="inlineStr">
        <is>
          <t>Dâmbovița</t>
        </is>
      </c>
      <c r="E345" t="inlineStr">
        <is>
          <t>67.02</t>
        </is>
      </c>
      <c r="F345" t="inlineStr">
        <is>
          <t>Cultura, recreere si religie</t>
        </is>
      </c>
      <c r="G345" t="n">
        <v>32107</v>
      </c>
      <c r="H345" t="n">
        <v>5.32</v>
      </c>
      <c r="I345" t="n">
        <v>479.46</v>
      </c>
      <c r="J345" t="inlineStr">
        <is>
          <t>Capitol prezent în topul verificat al municipiului; lista nu este exhaustivă.</t>
        </is>
      </c>
    </row>
    <row r="346">
      <c r="A346" t="n">
        <v>2024</v>
      </c>
      <c r="B346" t="inlineStr">
        <is>
          <t>65342</t>
        </is>
      </c>
      <c r="C346" t="inlineStr">
        <is>
          <t>Târgoviște</t>
        </is>
      </c>
      <c r="D346" t="inlineStr">
        <is>
          <t>Dâmbovița</t>
        </is>
      </c>
      <c r="E346" t="inlineStr">
        <is>
          <t>74.02</t>
        </is>
      </c>
      <c r="F346" t="inlineStr">
        <is>
          <t>Protectia mediului</t>
        </is>
      </c>
      <c r="G346" t="n">
        <v>30183</v>
      </c>
      <c r="H346" t="n">
        <v>5</v>
      </c>
      <c r="I346" t="n">
        <v>450.73</v>
      </c>
      <c r="J346" t="inlineStr">
        <is>
          <t>Capitol prezent în topul verificat al municipiului; lista nu este exhaustivă.</t>
        </is>
      </c>
    </row>
    <row r="347">
      <c r="A347" t="n">
        <v>2024</v>
      </c>
      <c r="B347" t="inlineStr">
        <is>
          <t>65342</t>
        </is>
      </c>
      <c r="C347" t="inlineStr">
        <is>
          <t>Târgoviște</t>
        </is>
      </c>
      <c r="D347" t="inlineStr">
        <is>
          <t>Dâmbovița</t>
        </is>
      </c>
      <c r="E347" t="inlineStr">
        <is>
          <t>51.02</t>
        </is>
      </c>
      <c r="F347" t="inlineStr">
        <is>
          <t>Autoritati publice si actiuni externe</t>
        </is>
      </c>
      <c r="G347" t="n">
        <v>24599</v>
      </c>
      <c r="H347" t="n">
        <v>4.08</v>
      </c>
      <c r="I347" t="n">
        <v>367.34</v>
      </c>
      <c r="J347" t="inlineStr">
        <is>
          <t>Capitol prezent în topul verificat al municipiului; lista nu este exhaustivă.</t>
        </is>
      </c>
    </row>
    <row r="348">
      <c r="A348" t="n">
        <v>2024</v>
      </c>
      <c r="B348" t="inlineStr">
        <is>
          <t>65342</t>
        </is>
      </c>
      <c r="C348" t="inlineStr">
        <is>
          <t>Târgoviște</t>
        </is>
      </c>
      <c r="D348" t="inlineStr">
        <is>
          <t>Dâmbovița</t>
        </is>
      </c>
      <c r="E348" t="inlineStr">
        <is>
          <t>55.02</t>
        </is>
      </c>
      <c r="F348" t="inlineStr">
        <is>
          <t>Tranzactii privind datoria publica si imprumuturi</t>
        </is>
      </c>
      <c r="G348" t="n">
        <v>10900</v>
      </c>
      <c r="H348" t="n">
        <v>1.81</v>
      </c>
      <c r="I348" t="n">
        <v>162.77</v>
      </c>
      <c r="J348" t="inlineStr">
        <is>
          <t>Capitol prezent în topul verificat al municipiului; lista nu este exhaustivă.</t>
        </is>
      </c>
    </row>
    <row r="349">
      <c r="A349" t="n">
        <v>2024</v>
      </c>
      <c r="B349" t="inlineStr">
        <is>
          <t>65342</t>
        </is>
      </c>
      <c r="C349" t="inlineStr">
        <is>
          <t>Târgoviște</t>
        </is>
      </c>
      <c r="D349" t="inlineStr">
        <is>
          <t>Dâmbovița</t>
        </is>
      </c>
      <c r="E349" t="inlineStr">
        <is>
          <t>61.02</t>
        </is>
      </c>
      <c r="F349" t="inlineStr">
        <is>
          <t>Ordine publica si siguranta nationala</t>
        </is>
      </c>
      <c r="G349" t="n">
        <v>9990</v>
      </c>
      <c r="H349" t="n">
        <v>1.66</v>
      </c>
      <c r="I349" t="n">
        <v>149.18</v>
      </c>
      <c r="J349" t="inlineStr">
        <is>
          <t>Capitol prezent în topul verificat al municipiului; lista nu este exhaustivă.</t>
        </is>
      </c>
    </row>
    <row r="350">
      <c r="A350" t="n">
        <v>2024</v>
      </c>
      <c r="B350" t="inlineStr">
        <is>
          <t>75098</t>
        </is>
      </c>
      <c r="C350" t="inlineStr">
        <is>
          <t>Galați</t>
        </is>
      </c>
      <c r="D350" t="inlineStr">
        <is>
          <t>Galați</t>
        </is>
      </c>
      <c r="E350" t="inlineStr">
        <is>
          <t>67.02</t>
        </is>
      </c>
      <c r="F350" t="inlineStr">
        <is>
          <t>Cultura, recreere si religie</t>
        </is>
      </c>
      <c r="G350" t="n">
        <v>74656</v>
      </c>
      <c r="H350" t="n">
        <v>18.69</v>
      </c>
      <c r="I350" t="n">
        <v>342.69</v>
      </c>
      <c r="J350" t="inlineStr">
        <is>
          <t>Capitol prezent în topul verificat al municipiului; lista nu este exhaustivă.</t>
        </is>
      </c>
    </row>
    <row r="351">
      <c r="A351" t="n">
        <v>2024</v>
      </c>
      <c r="B351" t="inlineStr">
        <is>
          <t>75098</t>
        </is>
      </c>
      <c r="C351" t="inlineStr">
        <is>
          <t>Galați</t>
        </is>
      </c>
      <c r="D351" t="inlineStr">
        <is>
          <t>Galați</t>
        </is>
      </c>
      <c r="E351" t="inlineStr">
        <is>
          <t>65.02</t>
        </is>
      </c>
      <c r="F351" t="inlineStr">
        <is>
          <t>Invatamant</t>
        </is>
      </c>
      <c r="G351" t="n">
        <v>70740</v>
      </c>
      <c r="H351" t="n">
        <v>17.71</v>
      </c>
      <c r="I351" t="n">
        <v>324.72</v>
      </c>
      <c r="J351" t="inlineStr">
        <is>
          <t>Capitol prezent în topul verificat al municipiului; lista nu este exhaustivă.</t>
        </is>
      </c>
    </row>
    <row r="352">
      <c r="A352" t="n">
        <v>2024</v>
      </c>
      <c r="B352" t="inlineStr">
        <is>
          <t>75098</t>
        </is>
      </c>
      <c r="C352" t="inlineStr">
        <is>
          <t>Galați</t>
        </is>
      </c>
      <c r="D352" t="inlineStr">
        <is>
          <t>Galați</t>
        </is>
      </c>
      <c r="E352" t="inlineStr">
        <is>
          <t>74.10</t>
        </is>
      </c>
      <c r="F352" t="inlineStr">
        <is>
          <t>Protectia mediului</t>
        </is>
      </c>
      <c r="G352" t="n">
        <v>64985.3</v>
      </c>
      <c r="H352" t="n">
        <v>16.27</v>
      </c>
      <c r="I352" t="n">
        <v>298.3</v>
      </c>
      <c r="J352" t="inlineStr">
        <is>
          <t>Capitol prezent în topul verificat al municipiului; lista nu este exhaustivă.</t>
        </is>
      </c>
    </row>
    <row r="353">
      <c r="A353" t="n">
        <v>2024</v>
      </c>
      <c r="B353" t="inlineStr">
        <is>
          <t>75098</t>
        </is>
      </c>
      <c r="C353" t="inlineStr">
        <is>
          <t>Galați</t>
        </is>
      </c>
      <c r="D353" t="inlineStr">
        <is>
          <t>Galați</t>
        </is>
      </c>
      <c r="E353" t="inlineStr">
        <is>
          <t>67.10</t>
        </is>
      </c>
      <c r="F353" t="inlineStr">
        <is>
          <t>Cultura, recreere si religie</t>
        </is>
      </c>
      <c r="G353" t="n">
        <v>52282</v>
      </c>
      <c r="H353" t="n">
        <v>13.09</v>
      </c>
      <c r="I353" t="n">
        <v>239.99</v>
      </c>
      <c r="J353" t="inlineStr">
        <is>
          <t>Capitol prezent în topul verificat al municipiului; lista nu este exhaustivă.</t>
        </is>
      </c>
    </row>
    <row r="354">
      <c r="A354" t="n">
        <v>2024</v>
      </c>
      <c r="B354" t="inlineStr">
        <is>
          <t>75098</t>
        </is>
      </c>
      <c r="C354" t="inlineStr">
        <is>
          <t>Galați</t>
        </is>
      </c>
      <c r="D354" t="inlineStr">
        <is>
          <t>Galați</t>
        </is>
      </c>
      <c r="E354" t="inlineStr">
        <is>
          <t>55.02</t>
        </is>
      </c>
      <c r="F354" t="inlineStr">
        <is>
          <t>Tranzactii privind datoria publica si imprumuturi</t>
        </is>
      </c>
      <c r="G354" t="n">
        <v>40500</v>
      </c>
      <c r="H354" t="n">
        <v>10.14</v>
      </c>
      <c r="I354" t="n">
        <v>185.91</v>
      </c>
      <c r="J354" t="inlineStr">
        <is>
          <t>Capitol prezent în topul verificat al municipiului; lista nu este exhaustivă.</t>
        </is>
      </c>
    </row>
    <row r="355">
      <c r="A355" t="n">
        <v>2024</v>
      </c>
      <c r="B355" t="inlineStr">
        <is>
          <t>75098</t>
        </is>
      </c>
      <c r="C355" t="inlineStr">
        <is>
          <t>Galați</t>
        </is>
      </c>
      <c r="D355" t="inlineStr">
        <is>
          <t>Galați</t>
        </is>
      </c>
      <c r="E355" t="inlineStr">
        <is>
          <t>61.02</t>
        </is>
      </c>
      <c r="F355" t="inlineStr">
        <is>
          <t>Ordine publica si siguranta nationala</t>
        </is>
      </c>
      <c r="G355" t="n">
        <v>25930</v>
      </c>
      <c r="H355" t="n">
        <v>6.49</v>
      </c>
      <c r="I355" t="n">
        <v>119.03</v>
      </c>
      <c r="J355" t="inlineStr">
        <is>
          <t>Capitol prezent în topul verificat al municipiului; lista nu este exhaustivă.</t>
        </is>
      </c>
    </row>
    <row r="356">
      <c r="A356" t="n">
        <v>2024</v>
      </c>
      <c r="B356" t="inlineStr">
        <is>
          <t>75098</t>
        </is>
      </c>
      <c r="C356" t="inlineStr">
        <is>
          <t>Galați</t>
        </is>
      </c>
      <c r="D356" t="inlineStr">
        <is>
          <t>Galați</t>
        </is>
      </c>
      <c r="E356" t="inlineStr">
        <is>
          <t>61.10</t>
        </is>
      </c>
      <c r="F356" t="inlineStr">
        <is>
          <t>Ordine publica si siguranta nationala</t>
        </is>
      </c>
      <c r="G356" t="n">
        <v>25001</v>
      </c>
      <c r="H356" t="n">
        <v>6.26</v>
      </c>
      <c r="I356" t="n">
        <v>114.76</v>
      </c>
      <c r="J356" t="inlineStr">
        <is>
          <t>Capitol prezent în topul verificat al municipiului; lista nu este exhaustivă.</t>
        </is>
      </c>
    </row>
    <row r="357">
      <c r="A357" t="n">
        <v>2024</v>
      </c>
      <c r="B357" t="inlineStr">
        <is>
          <t>75098</t>
        </is>
      </c>
      <c r="C357" t="inlineStr">
        <is>
          <t>Galați</t>
        </is>
      </c>
      <c r="D357" t="inlineStr">
        <is>
          <t>Galați</t>
        </is>
      </c>
      <c r="E357" t="inlineStr">
        <is>
          <t>84.10</t>
        </is>
      </c>
      <c r="F357" t="inlineStr">
        <is>
          <t>Transporturi</t>
        </is>
      </c>
      <c r="G357" t="n">
        <v>13461.13</v>
      </c>
      <c r="H357" t="n">
        <v>3.37</v>
      </c>
      <c r="I357" t="n">
        <v>61.79</v>
      </c>
      <c r="J357" t="inlineStr">
        <is>
          <t>Capitol prezent în topul verificat al municipiului; lista nu este exhaustivă.</t>
        </is>
      </c>
    </row>
    <row r="358">
      <c r="A358" t="n">
        <v>2024</v>
      </c>
      <c r="B358" t="inlineStr">
        <is>
          <t>75098</t>
        </is>
      </c>
      <c r="C358" t="inlineStr">
        <is>
          <t>Galați</t>
        </is>
      </c>
      <c r="D358" t="inlineStr">
        <is>
          <t>Galați</t>
        </is>
      </c>
      <c r="E358" t="inlineStr">
        <is>
          <t>65.10</t>
        </is>
      </c>
      <c r="F358" t="inlineStr">
        <is>
          <t>Invatamant</t>
        </is>
      </c>
      <c r="G358" t="n">
        <v>8379.870000000001</v>
      </c>
      <c r="H358" t="n">
        <v>2.1</v>
      </c>
      <c r="I358" t="n">
        <v>38.47</v>
      </c>
      <c r="J358" t="inlineStr">
        <is>
          <t>Capitol prezent în topul verificat al municipiului; lista nu este exhaustivă.</t>
        </is>
      </c>
    </row>
    <row r="359">
      <c r="A359" t="n">
        <v>2024</v>
      </c>
      <c r="B359" t="inlineStr">
        <is>
          <t>75098</t>
        </is>
      </c>
      <c r="C359" t="inlineStr">
        <is>
          <t>Galați</t>
        </is>
      </c>
      <c r="D359" t="inlineStr">
        <is>
          <t>Galați</t>
        </is>
      </c>
      <c r="E359" t="inlineStr">
        <is>
          <t>54.02</t>
        </is>
      </c>
      <c r="F359" t="inlineStr">
        <is>
          <t>Alte servicii publice generale</t>
        </is>
      </c>
      <c r="G359" t="n">
        <v>7600</v>
      </c>
      <c r="H359" t="n">
        <v>1.9</v>
      </c>
      <c r="I359" t="n">
        <v>34.89</v>
      </c>
      <c r="J359" t="inlineStr">
        <is>
          <t>Capitol prezent în topul verificat al municipiului; lista nu este exhaustivă.</t>
        </is>
      </c>
    </row>
    <row r="360">
      <c r="A360" t="n">
        <v>2024</v>
      </c>
      <c r="B360" t="inlineStr">
        <is>
          <t>83320</t>
        </is>
      </c>
      <c r="C360" t="inlineStr">
        <is>
          <t>Miercurea Ciuc</t>
        </is>
      </c>
      <c r="D360" t="inlineStr">
        <is>
          <t>Harghita</t>
        </is>
      </c>
      <c r="E360" t="inlineStr">
        <is>
          <t>00.01</t>
        </is>
      </c>
      <c r="F360" t="inlineStr">
        <is>
          <t>VENITURILE SECTIUNII DE FUNCTIONARE - TOTAL</t>
        </is>
      </c>
      <c r="G360" t="n">
        <v>125923.7</v>
      </c>
      <c r="H360" t="n">
        <v>34.46</v>
      </c>
      <c r="I360" t="n">
        <v>3651.66</v>
      </c>
      <c r="J360" t="inlineStr">
        <is>
          <t>Capitol prezent în topul verificat al municipiului; lista nu este exhaustivă.</t>
        </is>
      </c>
    </row>
    <row r="361">
      <c r="A361" t="n">
        <v>2024</v>
      </c>
      <c r="B361" t="inlineStr">
        <is>
          <t>83320</t>
        </is>
      </c>
      <c r="C361" t="inlineStr">
        <is>
          <t>Miercurea Ciuc</t>
        </is>
      </c>
      <c r="D361" t="inlineStr">
        <is>
          <t>Harghita</t>
        </is>
      </c>
      <c r="E361" t="inlineStr">
        <is>
          <t>00.03</t>
        </is>
      </c>
      <c r="F361" t="inlineStr">
        <is>
          <t>A. VENITURI FISCALE</t>
        </is>
      </c>
      <c r="G361" t="n">
        <v>121046</v>
      </c>
      <c r="H361" t="n">
        <v>33.13</v>
      </c>
      <c r="I361" t="n">
        <v>3510.21</v>
      </c>
      <c r="J361" t="inlineStr">
        <is>
          <t>Capitol prezent în topul verificat al municipiului; lista nu este exhaustivă.</t>
        </is>
      </c>
    </row>
    <row r="362">
      <c r="A362" t="n">
        <v>2024</v>
      </c>
      <c r="B362" t="inlineStr">
        <is>
          <t>83320</t>
        </is>
      </c>
      <c r="C362" t="inlineStr">
        <is>
          <t>Miercurea Ciuc</t>
        </is>
      </c>
      <c r="D362" t="inlineStr">
        <is>
          <t>Harghita</t>
        </is>
      </c>
      <c r="E362" t="inlineStr">
        <is>
          <t>00.02</t>
        </is>
      </c>
      <c r="F362" t="inlineStr">
        <is>
          <t>I. VENITURI CURENTE</t>
        </is>
      </c>
      <c r="G362" t="n">
        <v>120769</v>
      </c>
      <c r="H362" t="n">
        <v>33.05</v>
      </c>
      <c r="I362" t="n">
        <v>3502.17</v>
      </c>
      <c r="J362" t="inlineStr">
        <is>
          <t>Capitol prezent în topul verificat al municipiului; lista nu este exhaustivă.</t>
        </is>
      </c>
    </row>
    <row r="363">
      <c r="A363" t="n">
        <v>2024</v>
      </c>
      <c r="B363" t="inlineStr">
        <is>
          <t>83320</t>
        </is>
      </c>
      <c r="C363" t="inlineStr">
        <is>
          <t>Miercurea Ciuc</t>
        </is>
      </c>
      <c r="D363" t="inlineStr">
        <is>
          <t>Harghita</t>
        </is>
      </c>
      <c r="E363" t="inlineStr">
        <is>
          <t>00.04</t>
        </is>
      </c>
      <c r="F363" t="inlineStr">
        <is>
          <t>A1. IMPOZIT PE VENIT, PROFIT SI CASTIGURI DIN CAPITAL</t>
        </is>
      </c>
      <c r="G363" t="n">
        <v>69144</v>
      </c>
      <c r="H363" t="n">
        <v>18.92</v>
      </c>
      <c r="I363" t="n">
        <v>2005.1</v>
      </c>
      <c r="J363" t="inlineStr">
        <is>
          <t>Capitol prezent în topul verificat al municipiului; lista nu este exhaustivă.</t>
        </is>
      </c>
    </row>
    <row r="364">
      <c r="A364" t="n">
        <v>2024</v>
      </c>
      <c r="B364" t="inlineStr">
        <is>
          <t>83320</t>
        </is>
      </c>
      <c r="C364" t="inlineStr">
        <is>
          <t>Miercurea Ciuc</t>
        </is>
      </c>
      <c r="D364" t="inlineStr">
        <is>
          <t>Harghita</t>
        </is>
      </c>
      <c r="E364" t="inlineStr">
        <is>
          <t>00.06</t>
        </is>
      </c>
      <c r="F364" t="inlineStr">
        <is>
          <t>A1.2. IMPOZIT PE VENIT, PROFIT, SI CASTIGURI DIN CAPITAL DE LA PERSOAN</t>
        </is>
      </c>
      <c r="G364" t="n">
        <v>69144</v>
      </c>
      <c r="H364" t="n">
        <v>18.92</v>
      </c>
      <c r="I364" t="n">
        <v>2005.1</v>
      </c>
      <c r="J364" t="inlineStr">
        <is>
          <t>Capitol prezent în topul verificat al municipiului; lista nu este exhaustivă.</t>
        </is>
      </c>
    </row>
    <row r="365">
      <c r="A365" t="n">
        <v>2024</v>
      </c>
      <c r="B365" t="inlineStr">
        <is>
          <t>83320</t>
        </is>
      </c>
      <c r="C365" t="inlineStr">
        <is>
          <t>Miercurea Ciuc</t>
        </is>
      </c>
      <c r="D365" t="inlineStr">
        <is>
          <t>Harghita</t>
        </is>
      </c>
      <c r="E365" t="inlineStr">
        <is>
          <t>00.10</t>
        </is>
      </c>
      <c r="F365" t="inlineStr">
        <is>
          <t>A4. IMPOZITE SI TAXE PE BUNURI SI SERVICII</t>
        </is>
      </c>
      <c r="G365" t="n">
        <v>36792</v>
      </c>
      <c r="H365" t="n">
        <v>10.07</v>
      </c>
      <c r="I365" t="n">
        <v>1066.93</v>
      </c>
      <c r="J365" t="inlineStr">
        <is>
          <t>Capitol prezent în topul verificat al municipiului; lista nu este exhaustivă.</t>
        </is>
      </c>
    </row>
    <row r="366">
      <c r="A366" t="n">
        <v>2024</v>
      </c>
      <c r="B366" t="inlineStr">
        <is>
          <t>83320</t>
        </is>
      </c>
      <c r="C366" t="inlineStr">
        <is>
          <t>Miercurea Ciuc</t>
        </is>
      </c>
      <c r="D366" t="inlineStr">
        <is>
          <t>Harghita</t>
        </is>
      </c>
      <c r="E366" t="inlineStr">
        <is>
          <t>00.09</t>
        </is>
      </c>
      <c r="F366" t="inlineStr">
        <is>
          <t>A3. IMPOZITE SI TAXE PE PROPRIETATE</t>
        </is>
      </c>
      <c r="G366" t="n">
        <v>14670</v>
      </c>
      <c r="H366" t="n">
        <v>4.01</v>
      </c>
      <c r="I366" t="n">
        <v>425.41</v>
      </c>
      <c r="J366" t="inlineStr">
        <is>
          <t>Capitol prezent în topul verificat al municipiului; lista nu este exhaustivă.</t>
        </is>
      </c>
    </row>
    <row r="367">
      <c r="A367" t="n">
        <v>2024</v>
      </c>
      <c r="B367" t="inlineStr">
        <is>
          <t>83320</t>
        </is>
      </c>
      <c r="C367" t="inlineStr">
        <is>
          <t>Miercurea Ciuc</t>
        </is>
      </c>
      <c r="D367" t="inlineStr">
        <is>
          <t>Harghita</t>
        </is>
      </c>
      <c r="E367" t="inlineStr">
        <is>
          <t>84.02</t>
        </is>
      </c>
      <c r="F367" t="inlineStr">
        <is>
          <t>Transporturi</t>
        </is>
      </c>
      <c r="G367" t="n">
        <v>12170.2</v>
      </c>
      <c r="H367" t="n">
        <v>3.33</v>
      </c>
      <c r="I367" t="n">
        <v>352.92</v>
      </c>
      <c r="J367" t="inlineStr">
        <is>
          <t>Capitol prezent în topul verificat al municipiului; lista nu este exhaustivă.</t>
        </is>
      </c>
    </row>
    <row r="368">
      <c r="A368" t="n">
        <v>2024</v>
      </c>
      <c r="B368" t="inlineStr">
        <is>
          <t>83320</t>
        </is>
      </c>
      <c r="C368" t="inlineStr">
        <is>
          <t>Miercurea Ciuc</t>
        </is>
      </c>
      <c r="D368" t="inlineStr">
        <is>
          <t>Harghita</t>
        </is>
      </c>
      <c r="E368" t="inlineStr">
        <is>
          <t>81.02</t>
        </is>
      </c>
      <c r="F368" t="inlineStr">
        <is>
          <t>Combustibili si energie</t>
        </is>
      </c>
      <c r="G368" t="n">
        <v>5311</v>
      </c>
      <c r="H368" t="n">
        <v>1.45</v>
      </c>
      <c r="I368" t="n">
        <v>154.01</v>
      </c>
      <c r="J368" t="inlineStr">
        <is>
          <t>Capitol prezent în topul verificat al municipiului; lista nu este exhaustivă.</t>
        </is>
      </c>
    </row>
    <row r="369">
      <c r="A369" t="n">
        <v>2024</v>
      </c>
      <c r="B369" t="inlineStr">
        <is>
          <t>83320</t>
        </is>
      </c>
      <c r="C369" t="inlineStr">
        <is>
          <t>Miercurea Ciuc</t>
        </is>
      </c>
      <c r="D369" t="inlineStr">
        <is>
          <t>Harghita</t>
        </is>
      </c>
      <c r="E369" t="inlineStr">
        <is>
          <t>70.02</t>
        </is>
      </c>
      <c r="F369" t="inlineStr">
        <is>
          <t>Locuinte, servicii si dezvoltare:publica</t>
        </is>
      </c>
      <c r="G369" t="n">
        <v>5125.5</v>
      </c>
      <c r="H369" t="n">
        <v>1.4</v>
      </c>
      <c r="I369" t="n">
        <v>148.63</v>
      </c>
      <c r="J369" t="inlineStr">
        <is>
          <t>Capitol prezent în topul verificat al municipiului; lista nu este exhaustivă.</t>
        </is>
      </c>
    </row>
    <row r="370">
      <c r="A370" t="n">
        <v>2024</v>
      </c>
      <c r="B370" t="inlineStr">
        <is>
          <t>92658</t>
        </is>
      </c>
      <c r="C370" t="inlineStr">
        <is>
          <t>Slobozia</t>
        </is>
      </c>
      <c r="D370" t="inlineStr">
        <is>
          <t>Ialomița</t>
        </is>
      </c>
      <c r="E370" t="inlineStr">
        <is>
          <t>65.02</t>
        </is>
      </c>
      <c r="F370" t="inlineStr">
        <is>
          <t>Invatamant</t>
        </is>
      </c>
      <c r="G370" t="n">
        <v>47507.935</v>
      </c>
      <c r="H370" t="n">
        <v>20.09</v>
      </c>
      <c r="I370" t="n">
        <v>1143.39</v>
      </c>
      <c r="J370" t="inlineStr">
        <is>
          <t>Capitol prezent în topul verificat al municipiului; lista nu este exhaustivă.</t>
        </is>
      </c>
    </row>
    <row r="371">
      <c r="A371" t="n">
        <v>2024</v>
      </c>
      <c r="B371" t="inlineStr">
        <is>
          <t>92658</t>
        </is>
      </c>
      <c r="C371" t="inlineStr">
        <is>
          <t>Slobozia</t>
        </is>
      </c>
      <c r="D371" t="inlineStr">
        <is>
          <t>Ialomița</t>
        </is>
      </c>
      <c r="E371" t="inlineStr">
        <is>
          <t>67.02</t>
        </is>
      </c>
      <c r="F371" t="inlineStr">
        <is>
          <t>Cultura, recreere si religie</t>
        </is>
      </c>
      <c r="G371" t="n">
        <v>37068.963</v>
      </c>
      <c r="H371" t="n">
        <v>15.67</v>
      </c>
      <c r="I371" t="n">
        <v>892.15</v>
      </c>
      <c r="J371" t="inlineStr">
        <is>
          <t>Capitol prezent în topul verificat al municipiului; lista nu este exhaustivă.</t>
        </is>
      </c>
    </row>
    <row r="372">
      <c r="A372" t="n">
        <v>2024</v>
      </c>
      <c r="B372" t="inlineStr">
        <is>
          <t>92658</t>
        </is>
      </c>
      <c r="C372" t="inlineStr">
        <is>
          <t>Slobozia</t>
        </is>
      </c>
      <c r="D372" t="inlineStr">
        <is>
          <t>Ialomița</t>
        </is>
      </c>
      <c r="E372" t="inlineStr">
        <is>
          <t>68.02</t>
        </is>
      </c>
      <c r="F372" t="inlineStr">
        <is>
          <t>Asigurari si asistenta sociala</t>
        </is>
      </c>
      <c r="G372" t="n">
        <v>32137.5</v>
      </c>
      <c r="H372" t="n">
        <v>13.59</v>
      </c>
      <c r="I372" t="n">
        <v>773.47</v>
      </c>
      <c r="J372" t="inlineStr">
        <is>
          <t>Capitol prezent în topul verificat al municipiului; lista nu este exhaustivă.</t>
        </is>
      </c>
    </row>
    <row r="373">
      <c r="A373" t="n">
        <v>2024</v>
      </c>
      <c r="B373" t="inlineStr">
        <is>
          <t>92658</t>
        </is>
      </c>
      <c r="C373" t="inlineStr">
        <is>
          <t>Slobozia</t>
        </is>
      </c>
      <c r="D373" t="inlineStr">
        <is>
          <t>Ialomița</t>
        </is>
      </c>
      <c r="E373" t="inlineStr">
        <is>
          <t>84.02</t>
        </is>
      </c>
      <c r="F373" t="inlineStr">
        <is>
          <t>Transporturi</t>
        </is>
      </c>
      <c r="G373" t="n">
        <v>27926.999</v>
      </c>
      <c r="H373" t="n">
        <v>11.81</v>
      </c>
      <c r="I373" t="n">
        <v>672.13</v>
      </c>
      <c r="J373" t="inlineStr">
        <is>
          <t>Capitol prezent în topul verificat al municipiului; lista nu este exhaustivă.</t>
        </is>
      </c>
    </row>
    <row r="374">
      <c r="A374" t="n">
        <v>2024</v>
      </c>
      <c r="B374" t="inlineStr">
        <is>
          <t>92658</t>
        </is>
      </c>
      <c r="C374" t="inlineStr">
        <is>
          <t>Slobozia</t>
        </is>
      </c>
      <c r="D374" t="inlineStr">
        <is>
          <t>Ialomița</t>
        </is>
      </c>
      <c r="E374" t="inlineStr">
        <is>
          <t>70.02</t>
        </is>
      </c>
      <c r="F374" t="inlineStr">
        <is>
          <t>Locuinte, servicii si dezvoltare publica</t>
        </is>
      </c>
      <c r="G374" t="n">
        <v>27499.259</v>
      </c>
      <c r="H374" t="n">
        <v>11.63</v>
      </c>
      <c r="I374" t="n">
        <v>661.84</v>
      </c>
      <c r="J374" t="inlineStr">
        <is>
          <t>Capitol prezent în topul verificat al municipiului; lista nu este exhaustivă.</t>
        </is>
      </c>
    </row>
    <row r="375">
      <c r="A375" t="n">
        <v>2024</v>
      </c>
      <c r="B375" t="inlineStr">
        <is>
          <t>92658</t>
        </is>
      </c>
      <c r="C375" t="inlineStr">
        <is>
          <t>Slobozia</t>
        </is>
      </c>
      <c r="D375" t="inlineStr">
        <is>
          <t>Ialomița</t>
        </is>
      </c>
      <c r="E375" t="inlineStr">
        <is>
          <t>74.02</t>
        </is>
      </c>
      <c r="F375" t="inlineStr">
        <is>
          <t>Protectia mediului</t>
        </is>
      </c>
      <c r="G375" t="n">
        <v>25714.346</v>
      </c>
      <c r="H375" t="n">
        <v>10.87</v>
      </c>
      <c r="I375" t="n">
        <v>618.88</v>
      </c>
      <c r="J375" t="inlineStr">
        <is>
          <t>Capitol prezent în topul verificat al municipiului; lista nu este exhaustivă.</t>
        </is>
      </c>
    </row>
    <row r="376">
      <c r="A376" t="n">
        <v>2024</v>
      </c>
      <c r="B376" t="inlineStr">
        <is>
          <t>92658</t>
        </is>
      </c>
      <c r="C376" t="inlineStr">
        <is>
          <t>Slobozia</t>
        </is>
      </c>
      <c r="D376" t="inlineStr">
        <is>
          <t>Ialomița</t>
        </is>
      </c>
      <c r="E376" t="inlineStr">
        <is>
          <t>51.02</t>
        </is>
      </c>
      <c r="F376" t="inlineStr">
        <is>
          <t>Autoritati publice si actiuni externe</t>
        </is>
      </c>
      <c r="G376" t="n">
        <v>20609.528</v>
      </c>
      <c r="H376" t="n">
        <v>8.710000000000001</v>
      </c>
      <c r="I376" t="n">
        <v>496.02</v>
      </c>
      <c r="J376" t="inlineStr">
        <is>
          <t>Capitol prezent în topul verificat al municipiului; lista nu este exhaustivă.</t>
        </is>
      </c>
    </row>
    <row r="377">
      <c r="A377" t="n">
        <v>2024</v>
      </c>
      <c r="B377" t="inlineStr">
        <is>
          <t>92658</t>
        </is>
      </c>
      <c r="C377" t="inlineStr">
        <is>
          <t>Slobozia</t>
        </is>
      </c>
      <c r="D377" t="inlineStr">
        <is>
          <t>Ialomița</t>
        </is>
      </c>
      <c r="E377" t="inlineStr">
        <is>
          <t>61.02</t>
        </is>
      </c>
      <c r="F377" t="inlineStr">
        <is>
          <t>Ordine publica si siguranta nationala</t>
        </is>
      </c>
      <c r="G377" t="n">
        <v>7849.833</v>
      </c>
      <c r="H377" t="n">
        <v>3.32</v>
      </c>
      <c r="I377" t="n">
        <v>188.92</v>
      </c>
      <c r="J377" t="inlineStr">
        <is>
          <t>Capitol prezent în topul verificat al municipiului; lista nu este exhaustivă.</t>
        </is>
      </c>
    </row>
    <row r="378">
      <c r="A378" t="n">
        <v>2024</v>
      </c>
      <c r="B378" t="inlineStr">
        <is>
          <t>92658</t>
        </is>
      </c>
      <c r="C378" t="inlineStr">
        <is>
          <t>Slobozia</t>
        </is>
      </c>
      <c r="D378" t="inlineStr">
        <is>
          <t>Ialomița</t>
        </is>
      </c>
      <c r="E378" t="inlineStr">
        <is>
          <t>54.02</t>
        </is>
      </c>
      <c r="F378" t="inlineStr">
        <is>
          <t>Alte servicii publice generale</t>
        </is>
      </c>
      <c r="G378" t="n">
        <v>3580.364</v>
      </c>
      <c r="H378" t="n">
        <v>1.51</v>
      </c>
      <c r="I378" t="n">
        <v>86.17</v>
      </c>
      <c r="J378" t="inlineStr">
        <is>
          <t>Capitol prezent în topul verificat al municipiului; lista nu este exhaustivă.</t>
        </is>
      </c>
    </row>
    <row r="379">
      <c r="A379" t="n">
        <v>2024</v>
      </c>
      <c r="B379" t="inlineStr">
        <is>
          <t>92658</t>
        </is>
      </c>
      <c r="C379" t="inlineStr">
        <is>
          <t>Slobozia</t>
        </is>
      </c>
      <c r="D379" t="inlineStr">
        <is>
          <t>Ialomița</t>
        </is>
      </c>
      <c r="E379" t="inlineStr">
        <is>
          <t>66.02</t>
        </is>
      </c>
      <c r="F379" t="inlineStr">
        <is>
          <t>Sanatate</t>
        </is>
      </c>
      <c r="G379" t="n">
        <v>3016</v>
      </c>
      <c r="H379" t="n">
        <v>1.28</v>
      </c>
      <c r="I379" t="n">
        <v>72.59</v>
      </c>
      <c r="J379" t="inlineStr">
        <is>
          <t>Capitol prezent în topul verificat al municipiului; lista nu este exhaustivă.</t>
        </is>
      </c>
    </row>
    <row r="380">
      <c r="A380" t="n">
        <v>2024</v>
      </c>
      <c r="B380" t="inlineStr">
        <is>
          <t>106318</t>
        </is>
      </c>
      <c r="C380" t="inlineStr">
        <is>
          <t>Baia Mare</t>
        </is>
      </c>
      <c r="D380" t="inlineStr">
        <is>
          <t>Maramureș</t>
        </is>
      </c>
      <c r="E380" t="inlineStr">
        <is>
          <t>70.02</t>
        </is>
      </c>
      <c r="F380" t="inlineStr">
        <is>
          <t>Locuinte, servicii si dezvoltare publica</t>
        </is>
      </c>
      <c r="G380" t="n">
        <v>159420</v>
      </c>
      <c r="H380" t="n">
        <v>20.11</v>
      </c>
      <c r="I380" t="n">
        <v>1465.81</v>
      </c>
      <c r="J380" t="inlineStr">
        <is>
          <t>Capitol prezent în topul verificat al municipiului; lista nu este exhaustivă.</t>
        </is>
      </c>
    </row>
    <row r="381">
      <c r="A381" t="n">
        <v>2024</v>
      </c>
      <c r="B381" t="inlineStr">
        <is>
          <t>106318</t>
        </is>
      </c>
      <c r="C381" t="inlineStr">
        <is>
          <t>Baia Mare</t>
        </is>
      </c>
      <c r="D381" t="inlineStr">
        <is>
          <t>Maramureș</t>
        </is>
      </c>
      <c r="E381" t="inlineStr">
        <is>
          <t>66.10</t>
        </is>
      </c>
      <c r="F381" t="inlineStr">
        <is>
          <t>Sanatate</t>
        </is>
      </c>
      <c r="G381" t="n">
        <v>69804</v>
      </c>
      <c r="H381" t="n">
        <v>8.81</v>
      </c>
      <c r="I381" t="n">
        <v>641.8200000000001</v>
      </c>
      <c r="J381" t="inlineStr">
        <is>
          <t>Capitol prezent în topul verificat al municipiului; lista nu este exhaustivă.</t>
        </is>
      </c>
    </row>
    <row r="382">
      <c r="A382" t="n">
        <v>2024</v>
      </c>
      <c r="B382" t="inlineStr">
        <is>
          <t>106318</t>
        </is>
      </c>
      <c r="C382" t="inlineStr">
        <is>
          <t>Baia Mare</t>
        </is>
      </c>
      <c r="D382" t="inlineStr">
        <is>
          <t>Maramureș</t>
        </is>
      </c>
      <c r="E382" t="inlineStr">
        <is>
          <t>00.10</t>
        </is>
      </c>
      <c r="F382" t="inlineStr">
        <is>
          <t>A4. IMPOZITE SI TAXE PE BUNURI SI SERVICII</t>
        </is>
      </c>
      <c r="G382" t="n">
        <v>67756</v>
      </c>
      <c r="H382" t="n">
        <v>8.550000000000001</v>
      </c>
      <c r="I382" t="n">
        <v>622.99</v>
      </c>
      <c r="J382" t="inlineStr">
        <is>
          <t>Capitol prezent în topul verificat al municipiului; lista nu este exhaustivă.</t>
        </is>
      </c>
    </row>
    <row r="383">
      <c r="A383" t="n">
        <v>2024</v>
      </c>
      <c r="B383" t="inlineStr">
        <is>
          <t>106318</t>
        </is>
      </c>
      <c r="C383" t="inlineStr">
        <is>
          <t>Baia Mare</t>
        </is>
      </c>
      <c r="D383" t="inlineStr">
        <is>
          <t>Maramureș</t>
        </is>
      </c>
      <c r="E383" t="inlineStr">
        <is>
          <t>00.12</t>
        </is>
      </c>
      <c r="F383" t="inlineStr">
        <is>
          <t>C. VENITURI NEFISCALE</t>
        </is>
      </c>
      <c r="G383" t="n">
        <v>39353</v>
      </c>
      <c r="H383" t="n">
        <v>4.97</v>
      </c>
      <c r="I383" t="n">
        <v>361.84</v>
      </c>
      <c r="J383" t="inlineStr">
        <is>
          <t>Capitol prezent în topul verificat al municipiului; lista nu este exhaustivă.</t>
        </is>
      </c>
    </row>
    <row r="384">
      <c r="A384" t="n">
        <v>2024</v>
      </c>
      <c r="B384" t="inlineStr">
        <is>
          <t>106318</t>
        </is>
      </c>
      <c r="C384" t="inlineStr">
        <is>
          <t>Baia Mare</t>
        </is>
      </c>
      <c r="D384" t="inlineStr">
        <is>
          <t>Maramureș</t>
        </is>
      </c>
      <c r="E384" t="inlineStr">
        <is>
          <t>70.10</t>
        </is>
      </c>
      <c r="F384" t="inlineStr">
        <is>
          <t>Locuinte, servicii si dezvoltare publica</t>
        </is>
      </c>
      <c r="G384" t="n">
        <v>29620</v>
      </c>
      <c r="H384" t="n">
        <v>3.74</v>
      </c>
      <c r="I384" t="n">
        <v>272.35</v>
      </c>
      <c r="J384" t="inlineStr">
        <is>
          <t>Capitol prezent în topul verificat al municipiului; lista nu este exhaustivă.</t>
        </is>
      </c>
    </row>
    <row r="385">
      <c r="A385" t="n">
        <v>2024</v>
      </c>
      <c r="B385" t="inlineStr">
        <is>
          <t>106318</t>
        </is>
      </c>
      <c r="C385" t="inlineStr">
        <is>
          <t>Baia Mare</t>
        </is>
      </c>
      <c r="D385" t="inlineStr">
        <is>
          <t>Maramureș</t>
        </is>
      </c>
      <c r="E385" t="inlineStr">
        <is>
          <t>00.14</t>
        </is>
      </c>
      <c r="F385" t="inlineStr">
        <is>
          <t>C2. VANZARI DE BUNURI SI SERVICII</t>
        </is>
      </c>
      <c r="G385" t="n">
        <v>26524</v>
      </c>
      <c r="H385" t="n">
        <v>3.35</v>
      </c>
      <c r="I385" t="n">
        <v>243.88</v>
      </c>
      <c r="J385" t="inlineStr">
        <is>
          <t>Capitol prezent în topul verificat al municipiului; lista nu este exhaustivă.</t>
        </is>
      </c>
    </row>
    <row r="386">
      <c r="A386" t="n">
        <v>2024</v>
      </c>
      <c r="B386" t="inlineStr">
        <is>
          <t>106318</t>
        </is>
      </c>
      <c r="C386" t="inlineStr">
        <is>
          <t>Baia Mare</t>
        </is>
      </c>
      <c r="D386" t="inlineStr">
        <is>
          <t>Maramureș</t>
        </is>
      </c>
      <c r="E386" t="inlineStr">
        <is>
          <t>67.10</t>
        </is>
      </c>
      <c r="F386" t="inlineStr">
        <is>
          <t>Cultura, recreere si religie (67.10.03+67.10.05+67.10.50)</t>
        </is>
      </c>
      <c r="G386" t="n">
        <v>19424</v>
      </c>
      <c r="H386" t="n">
        <v>2.45</v>
      </c>
      <c r="I386" t="n">
        <v>178.6</v>
      </c>
      <c r="J386" t="inlineStr">
        <is>
          <t>Capitol prezent în topul verificat al municipiului; lista nu este exhaustivă.</t>
        </is>
      </c>
    </row>
    <row r="387">
      <c r="A387" t="n">
        <v>2024</v>
      </c>
      <c r="B387" t="inlineStr">
        <is>
          <t>106318</t>
        </is>
      </c>
      <c r="C387" t="inlineStr">
        <is>
          <t>Baia Mare</t>
        </is>
      </c>
      <c r="D387" t="inlineStr">
        <is>
          <t>Maramureș</t>
        </is>
      </c>
      <c r="E387" t="inlineStr">
        <is>
          <t>00.13</t>
        </is>
      </c>
      <c r="F387" t="inlineStr">
        <is>
          <t>C1. VENITURI DIN PROPRIETATE</t>
        </is>
      </c>
      <c r="G387" t="n">
        <v>12829</v>
      </c>
      <c r="H387" t="n">
        <v>1.62</v>
      </c>
      <c r="I387" t="n">
        <v>117.96</v>
      </c>
      <c r="J387" t="inlineStr">
        <is>
          <t>Capitol prezent în topul verificat al municipiului; lista nu este exhaustivă.</t>
        </is>
      </c>
    </row>
    <row r="388">
      <c r="A388" t="n">
        <v>2024</v>
      </c>
      <c r="B388" t="inlineStr">
        <is>
          <t>106318</t>
        </is>
      </c>
      <c r="C388" t="inlineStr">
        <is>
          <t>Baia Mare</t>
        </is>
      </c>
      <c r="D388" t="inlineStr">
        <is>
          <t>Maramureș</t>
        </is>
      </c>
      <c r="E388" t="inlineStr">
        <is>
          <t>65.02</t>
        </is>
      </c>
      <c r="F388" t="inlineStr">
        <is>
          <t>Invatamant</t>
        </is>
      </c>
      <c r="G388" t="n">
        <v>10494.5</v>
      </c>
      <c r="H388" t="n">
        <v>1.32</v>
      </c>
      <c r="I388" t="n">
        <v>96.48999999999999</v>
      </c>
      <c r="J388" t="inlineStr">
        <is>
          <t>Capitol prezent în topul verificat al municipiului; lista nu este exhaustivă.</t>
        </is>
      </c>
    </row>
    <row r="389">
      <c r="A389" t="n">
        <v>2024</v>
      </c>
      <c r="B389" t="inlineStr">
        <is>
          <t>106318</t>
        </is>
      </c>
      <c r="C389" t="inlineStr">
        <is>
          <t>Baia Mare</t>
        </is>
      </c>
      <c r="D389" t="inlineStr">
        <is>
          <t>Maramureș</t>
        </is>
      </c>
      <c r="E389" t="inlineStr">
        <is>
          <t>65.10</t>
        </is>
      </c>
      <c r="F389" t="inlineStr">
        <is>
          <t>Invatamant</t>
        </is>
      </c>
      <c r="G389" t="n">
        <v>9875</v>
      </c>
      <c r="H389" t="n">
        <v>1.25</v>
      </c>
      <c r="I389" t="n">
        <v>90.8</v>
      </c>
      <c r="J389" t="inlineStr">
        <is>
          <t>Capitol prezent în topul verificat al municipiului; lista nu este exhaustivă.</t>
        </is>
      </c>
    </row>
    <row r="390">
      <c r="A390" t="n">
        <v>2024</v>
      </c>
      <c r="B390" t="inlineStr">
        <is>
          <t>120726</t>
        </is>
      </c>
      <c r="C390" t="inlineStr">
        <is>
          <t>Piatra-Neamț</t>
        </is>
      </c>
      <c r="D390" t="inlineStr">
        <is>
          <t>Neamț</t>
        </is>
      </c>
      <c r="E390" t="inlineStr">
        <is>
          <t>51.02</t>
        </is>
      </c>
      <c r="F390" t="inlineStr">
        <is>
          <t>Autoritati publice si actiuni externe Din total capitol:</t>
        </is>
      </c>
      <c r="G390" t="n">
        <v>68075.99000000001</v>
      </c>
      <c r="H390" t="n">
        <v>12.29</v>
      </c>
      <c r="I390" t="n">
        <v>854.38</v>
      </c>
      <c r="J390" t="inlineStr">
        <is>
          <t>Capitol prezent în topul verificat al municipiului; lista nu este exhaustivă.</t>
        </is>
      </c>
    </row>
    <row r="391">
      <c r="A391" t="n">
        <v>2024</v>
      </c>
      <c r="B391" t="inlineStr">
        <is>
          <t>120726</t>
        </is>
      </c>
      <c r="C391" t="inlineStr">
        <is>
          <t>Piatra-Neamț</t>
        </is>
      </c>
      <c r="D391" t="inlineStr">
        <is>
          <t>Neamț</t>
        </is>
      </c>
      <c r="E391" t="inlineStr">
        <is>
          <t>67.02</t>
        </is>
      </c>
      <c r="F391" t="inlineStr">
        <is>
          <t>Cultura, recreere si religie Din total capitol:</t>
        </is>
      </c>
      <c r="G391" t="n">
        <v>35552.68</v>
      </c>
      <c r="H391" t="n">
        <v>6.42</v>
      </c>
      <c r="I391" t="n">
        <v>446.2</v>
      </c>
      <c r="J391" t="inlineStr">
        <is>
          <t>Capitol prezent în topul verificat al municipiului; lista nu este exhaustivă.</t>
        </is>
      </c>
    </row>
    <row r="392">
      <c r="A392" t="n">
        <v>2024</v>
      </c>
      <c r="B392" t="inlineStr">
        <is>
          <t>120726</t>
        </is>
      </c>
      <c r="C392" t="inlineStr">
        <is>
          <t>Piatra-Neamț</t>
        </is>
      </c>
      <c r="D392" t="inlineStr">
        <is>
          <t>Neamț</t>
        </is>
      </c>
      <c r="E392" t="inlineStr">
        <is>
          <t>74.02</t>
        </is>
      </c>
      <c r="F392" t="inlineStr">
        <is>
          <t>Protectia mediului Din total capitol:</t>
        </is>
      </c>
      <c r="G392" t="n">
        <v>12023</v>
      </c>
      <c r="H392" t="n">
        <v>2.17</v>
      </c>
      <c r="I392" t="n">
        <v>150.89</v>
      </c>
      <c r="J392" t="inlineStr">
        <is>
          <t>Capitol prezent în topul verificat al municipiului; lista nu este exhaustivă.</t>
        </is>
      </c>
    </row>
    <row r="393">
      <c r="A393" t="n">
        <v>2024</v>
      </c>
      <c r="B393" t="inlineStr">
        <is>
          <t>120726</t>
        </is>
      </c>
      <c r="C393" t="inlineStr">
        <is>
          <t>Piatra-Neamț</t>
        </is>
      </c>
      <c r="D393" t="inlineStr">
        <is>
          <t>Neamț</t>
        </is>
      </c>
      <c r="E393" t="inlineStr">
        <is>
          <t>55.02</t>
        </is>
      </c>
      <c r="F393" t="inlineStr">
        <is>
          <t>Tranzacții privind datoria publică şi imprumuturi</t>
        </is>
      </c>
      <c r="G393" t="n">
        <v>7885</v>
      </c>
      <c r="H393" t="n">
        <v>1.42</v>
      </c>
      <c r="I393" t="n">
        <v>98.95999999999999</v>
      </c>
      <c r="J393" t="inlineStr">
        <is>
          <t>Capitol prezent în topul verificat al municipiului; lista nu este exhaustivă.</t>
        </is>
      </c>
    </row>
    <row r="394">
      <c r="A394" t="n">
        <v>2024</v>
      </c>
      <c r="B394" t="inlineStr">
        <is>
          <t>120726</t>
        </is>
      </c>
      <c r="C394" t="inlineStr">
        <is>
          <t>Piatra-Neamț</t>
        </is>
      </c>
      <c r="D394" t="inlineStr">
        <is>
          <t>Neamț</t>
        </is>
      </c>
      <c r="E394" t="inlineStr">
        <is>
          <t>66.02</t>
        </is>
      </c>
      <c r="F394" t="inlineStr">
        <is>
          <t>Sanatate Din total capitol:</t>
        </is>
      </c>
      <c r="G394" t="n">
        <v>5958</v>
      </c>
      <c r="H394" t="n">
        <v>1.08</v>
      </c>
      <c r="I394" t="n">
        <v>74.78</v>
      </c>
      <c r="J394" t="inlineStr">
        <is>
          <t>Capitol prezent în topul verificat al municipiului; lista nu este exhaustivă.</t>
        </is>
      </c>
    </row>
    <row r="395">
      <c r="A395" t="n">
        <v>2024</v>
      </c>
      <c r="B395" t="inlineStr">
        <is>
          <t>120726</t>
        </is>
      </c>
      <c r="C395" t="inlineStr">
        <is>
          <t>Piatra-Neamț</t>
        </is>
      </c>
      <c r="D395" t="inlineStr">
        <is>
          <t>Neamț</t>
        </is>
      </c>
      <c r="E395" t="inlineStr">
        <is>
          <t>54.02</t>
        </is>
      </c>
      <c r="F395" t="inlineStr">
        <is>
          <t>Alte servicii publice generale</t>
        </is>
      </c>
      <c r="G395" t="n">
        <v>350</v>
      </c>
      <c r="H395" t="n">
        <v>0.06</v>
      </c>
      <c r="I395" t="n">
        <v>4.39</v>
      </c>
      <c r="J395" t="inlineStr">
        <is>
          <t>Capitol prezent în topul verificat al municipiului; lista nu este exhaustivă.</t>
        </is>
      </c>
    </row>
    <row r="396">
      <c r="A396" t="n">
        <v>2024</v>
      </c>
      <c r="B396" t="inlineStr">
        <is>
          <t>120726</t>
        </is>
      </c>
      <c r="C396" t="inlineStr">
        <is>
          <t>Piatra-Neamț</t>
        </is>
      </c>
      <c r="D396" t="inlineStr">
        <is>
          <t>Neamț</t>
        </is>
      </c>
      <c r="E396" t="inlineStr">
        <is>
          <t>80.02</t>
        </is>
      </c>
      <c r="F396" t="inlineStr">
        <is>
          <t>Actiuni generale economice, comerciale si de munca Din total capitol:</t>
        </is>
      </c>
      <c r="G396" t="n">
        <v>0</v>
      </c>
      <c r="H396" t="n">
        <v>0</v>
      </c>
      <c r="I396" t="n">
        <v>0</v>
      </c>
      <c r="J396" t="inlineStr">
        <is>
          <t>Capitol prezent în topul verificat al municipiului; lista nu este exhaustivă.</t>
        </is>
      </c>
    </row>
    <row r="397">
      <c r="A397" t="n">
        <v>2024</v>
      </c>
      <c r="B397" t="inlineStr">
        <is>
          <t>136483</t>
        </is>
      </c>
      <c r="C397" t="inlineStr">
        <is>
          <t>Satu Mare</t>
        </is>
      </c>
      <c r="D397" t="inlineStr">
        <is>
          <t>Satu Mare</t>
        </is>
      </c>
      <c r="E397" t="inlineStr">
        <is>
          <t>84.02</t>
        </is>
      </c>
      <c r="F397" t="inlineStr">
        <is>
          <t>Transporturi</t>
        </is>
      </c>
      <c r="G397" t="n">
        <v>138203.457</v>
      </c>
      <c r="H397" t="n">
        <v>23.91</v>
      </c>
      <c r="I397" t="n">
        <v>1510.09</v>
      </c>
      <c r="J397" t="inlineStr">
        <is>
          <t>Capitol prezent în topul verificat al municipiului; lista nu este exhaustivă.</t>
        </is>
      </c>
    </row>
    <row r="398">
      <c r="A398" t="n">
        <v>2024</v>
      </c>
      <c r="B398" t="inlineStr">
        <is>
          <t>136483</t>
        </is>
      </c>
      <c r="C398" t="inlineStr">
        <is>
          <t>Satu Mare</t>
        </is>
      </c>
      <c r="D398" t="inlineStr">
        <is>
          <t>Satu Mare</t>
        </is>
      </c>
      <c r="E398" t="inlineStr">
        <is>
          <t>70.02</t>
        </is>
      </c>
      <c r="F398" t="inlineStr">
        <is>
          <t>Locuinte, servicii si dezvoltare publica</t>
        </is>
      </c>
      <c r="G398" t="n">
        <v>120718.976</v>
      </c>
      <c r="H398" t="n">
        <v>20.89</v>
      </c>
      <c r="I398" t="n">
        <v>1319.04</v>
      </c>
      <c r="J398" t="inlineStr">
        <is>
          <t>Capitol prezent în topul verificat al municipiului; lista nu este exhaustivă.</t>
        </is>
      </c>
    </row>
    <row r="399">
      <c r="A399" t="n">
        <v>2024</v>
      </c>
      <c r="B399" t="inlineStr">
        <is>
          <t>136483</t>
        </is>
      </c>
      <c r="C399" t="inlineStr">
        <is>
          <t>Satu Mare</t>
        </is>
      </c>
      <c r="D399" t="inlineStr">
        <is>
          <t>Satu Mare</t>
        </is>
      </c>
      <c r="E399" t="inlineStr">
        <is>
          <t>65.02</t>
        </is>
      </c>
      <c r="F399" t="inlineStr">
        <is>
          <t>Invatamant</t>
        </is>
      </c>
      <c r="G399" t="n">
        <v>106680.741</v>
      </c>
      <c r="H399" t="n">
        <v>18.46</v>
      </c>
      <c r="I399" t="n">
        <v>1165.65</v>
      </c>
      <c r="J399" t="inlineStr">
        <is>
          <t>Capitol prezent în topul verificat al municipiului; lista nu este exhaustivă.</t>
        </is>
      </c>
    </row>
    <row r="400">
      <c r="A400" t="n">
        <v>2024</v>
      </c>
      <c r="B400" t="inlineStr">
        <is>
          <t>136483</t>
        </is>
      </c>
      <c r="C400" t="inlineStr">
        <is>
          <t>Satu Mare</t>
        </is>
      </c>
      <c r="D400" t="inlineStr">
        <is>
          <t>Satu Mare</t>
        </is>
      </c>
      <c r="E400" t="inlineStr">
        <is>
          <t>68.02</t>
        </is>
      </c>
      <c r="F400" t="inlineStr">
        <is>
          <t>Asigurari si asistenta sociala</t>
        </is>
      </c>
      <c r="G400" t="n">
        <v>70038.5</v>
      </c>
      <c r="H400" t="n">
        <v>12.12</v>
      </c>
      <c r="I400" t="n">
        <v>765.28</v>
      </c>
      <c r="J400" t="inlineStr">
        <is>
          <t>Capitol prezent în topul verificat al municipiului; lista nu este exhaustivă.</t>
        </is>
      </c>
    </row>
    <row r="401">
      <c r="A401" t="n">
        <v>2024</v>
      </c>
      <c r="B401" t="inlineStr">
        <is>
          <t>136483</t>
        </is>
      </c>
      <c r="C401" t="inlineStr">
        <is>
          <t>Satu Mare</t>
        </is>
      </c>
      <c r="D401" t="inlineStr">
        <is>
          <t>Satu Mare</t>
        </is>
      </c>
      <c r="E401" t="inlineStr">
        <is>
          <t>67.02</t>
        </is>
      </c>
      <c r="F401" t="inlineStr">
        <is>
          <t>Cultura, recreere si religie</t>
        </is>
      </c>
      <c r="G401" t="n">
        <v>61026.02</v>
      </c>
      <c r="H401" t="n">
        <v>10.56</v>
      </c>
      <c r="I401" t="n">
        <v>666.8099999999999</v>
      </c>
      <c r="J401" t="inlineStr">
        <is>
          <t>Capitol prezent în topul verificat al municipiului; lista nu este exhaustivă.</t>
        </is>
      </c>
    </row>
    <row r="402">
      <c r="A402" t="n">
        <v>2024</v>
      </c>
      <c r="B402" t="inlineStr">
        <is>
          <t>136483</t>
        </is>
      </c>
      <c r="C402" t="inlineStr">
        <is>
          <t>Satu Mare</t>
        </is>
      </c>
      <c r="D402" t="inlineStr">
        <is>
          <t>Satu Mare</t>
        </is>
      </c>
      <c r="E402" t="inlineStr">
        <is>
          <t>51.02</t>
        </is>
      </c>
      <c r="F402" t="inlineStr">
        <is>
          <t>Autoritati publice si actiuni externe</t>
        </is>
      </c>
      <c r="G402" t="n">
        <v>42532</v>
      </c>
      <c r="H402" t="n">
        <v>7.36</v>
      </c>
      <c r="I402" t="n">
        <v>464.73</v>
      </c>
      <c r="J402" t="inlineStr">
        <is>
          <t>Capitol prezent în topul verificat al municipiului; lista nu este exhaustivă.</t>
        </is>
      </c>
    </row>
    <row r="403">
      <c r="A403" t="n">
        <v>2024</v>
      </c>
      <c r="B403" t="inlineStr">
        <is>
          <t>136483</t>
        </is>
      </c>
      <c r="C403" t="inlineStr">
        <is>
          <t>Satu Mare</t>
        </is>
      </c>
      <c r="D403" t="inlineStr">
        <is>
          <t>Satu Mare</t>
        </is>
      </c>
      <c r="E403" t="inlineStr">
        <is>
          <t>61.02</t>
        </is>
      </c>
      <c r="F403" t="inlineStr">
        <is>
          <t>Ordine publica si siguranta nationala</t>
        </is>
      </c>
      <c r="G403" t="n">
        <v>14216.4</v>
      </c>
      <c r="H403" t="n">
        <v>2.46</v>
      </c>
      <c r="I403" t="n">
        <v>155.34</v>
      </c>
      <c r="J403" t="inlineStr">
        <is>
          <t>Capitol prezent în topul verificat al municipiului; lista nu este exhaustivă.</t>
        </is>
      </c>
    </row>
    <row r="404">
      <c r="A404" t="n">
        <v>2024</v>
      </c>
      <c r="B404" t="inlineStr">
        <is>
          <t>136483</t>
        </is>
      </c>
      <c r="C404" t="inlineStr">
        <is>
          <t>Satu Mare</t>
        </is>
      </c>
      <c r="D404" t="inlineStr">
        <is>
          <t>Satu Mare</t>
        </is>
      </c>
      <c r="E404" t="inlineStr">
        <is>
          <t>74.02</t>
        </is>
      </c>
      <c r="F404" t="inlineStr">
        <is>
          <t>Protectia mediului</t>
        </is>
      </c>
      <c r="G404" t="n">
        <v>8355</v>
      </c>
      <c r="H404" t="n">
        <v>1.45</v>
      </c>
      <c r="I404" t="n">
        <v>91.29000000000001</v>
      </c>
      <c r="J404" t="inlineStr">
        <is>
          <t>Capitol prezent în topul verificat al municipiului; lista nu este exhaustivă.</t>
        </is>
      </c>
    </row>
    <row r="405">
      <c r="A405" t="n">
        <v>2024</v>
      </c>
      <c r="B405" t="inlineStr">
        <is>
          <t>136483</t>
        </is>
      </c>
      <c r="C405" t="inlineStr">
        <is>
          <t>Satu Mare</t>
        </is>
      </c>
      <c r="D405" t="inlineStr">
        <is>
          <t>Satu Mare</t>
        </is>
      </c>
      <c r="E405" t="inlineStr">
        <is>
          <t>66.02</t>
        </is>
      </c>
      <c r="F405" t="inlineStr">
        <is>
          <t>Sanatate</t>
        </is>
      </c>
      <c r="G405" t="n">
        <v>7468.1</v>
      </c>
      <c r="H405" t="n">
        <v>1.29</v>
      </c>
      <c r="I405" t="n">
        <v>81.59999999999999</v>
      </c>
      <c r="J405" t="inlineStr">
        <is>
          <t>Capitol prezent în topul verificat al municipiului; lista nu este exhaustivă.</t>
        </is>
      </c>
    </row>
    <row r="406">
      <c r="A406" t="n">
        <v>2024</v>
      </c>
      <c r="B406" t="inlineStr">
        <is>
          <t>136483</t>
        </is>
      </c>
      <c r="C406" t="inlineStr">
        <is>
          <t>Satu Mare</t>
        </is>
      </c>
      <c r="D406" t="inlineStr">
        <is>
          <t>Satu Mare</t>
        </is>
      </c>
      <c r="E406" t="inlineStr">
        <is>
          <t>55.02</t>
        </is>
      </c>
      <c r="F406" t="inlineStr">
        <is>
          <t>Tranzacţii privind datoria publică şi împrumuturi</t>
        </is>
      </c>
      <c r="G406" t="n">
        <v>4442</v>
      </c>
      <c r="H406" t="n">
        <v>0.77</v>
      </c>
      <c r="I406" t="n">
        <v>48.54</v>
      </c>
      <c r="J406" t="inlineStr">
        <is>
          <t>Capitol prezent în topul verificat al municipiului; lista nu este exhaustivă.</t>
        </is>
      </c>
    </row>
    <row r="407">
      <c r="A407" t="n">
        <v>2024</v>
      </c>
      <c r="B407" t="inlineStr">
        <is>
          <t>151790</t>
        </is>
      </c>
      <c r="C407" t="inlineStr">
        <is>
          <t>Alexandria</t>
        </is>
      </c>
      <c r="D407" t="inlineStr">
        <is>
          <t>Teleorman</t>
        </is>
      </c>
      <c r="E407" t="inlineStr">
        <is>
          <t>70.02</t>
        </is>
      </c>
      <c r="F407" t="inlineStr">
        <is>
          <t>LOCUINTE, SERVICII SI DEZVOLTARE</t>
        </is>
      </c>
      <c r="G407" t="n">
        <v>155554.72</v>
      </c>
      <c r="H407" t="n">
        <v>35.65</v>
      </c>
      <c r="I407" t="n">
        <v>3851.32</v>
      </c>
      <c r="J407" t="inlineStr">
        <is>
          <t>Capitol prezent în topul verificat al municipiului; lista nu este exhaustivă.</t>
        </is>
      </c>
    </row>
    <row r="408">
      <c r="A408" t="n">
        <v>2024</v>
      </c>
      <c r="B408" t="inlineStr">
        <is>
          <t>151790</t>
        </is>
      </c>
      <c r="C408" t="inlineStr">
        <is>
          <t>Alexandria</t>
        </is>
      </c>
      <c r="D408" t="inlineStr">
        <is>
          <t>Teleorman</t>
        </is>
      </c>
      <c r="E408" t="inlineStr">
        <is>
          <t>84.02</t>
        </is>
      </c>
      <c r="F408" t="inlineStr">
        <is>
          <t>TRANSPORTURI</t>
        </is>
      </c>
      <c r="G408" t="n">
        <v>126153.18</v>
      </c>
      <c r="H408" t="n">
        <v>28.91</v>
      </c>
      <c r="I408" t="n">
        <v>3123.38</v>
      </c>
      <c r="J408" t="inlineStr">
        <is>
          <t>Capitol prezent în topul verificat al municipiului; lista nu este exhaustivă.</t>
        </is>
      </c>
    </row>
    <row r="409">
      <c r="A409" t="n">
        <v>2024</v>
      </c>
      <c r="B409" t="inlineStr">
        <is>
          <t>151790</t>
        </is>
      </c>
      <c r="C409" t="inlineStr">
        <is>
          <t>Alexandria</t>
        </is>
      </c>
      <c r="D409" t="inlineStr">
        <is>
          <t>Teleorman</t>
        </is>
      </c>
      <c r="E409" t="inlineStr">
        <is>
          <t>65.02</t>
        </is>
      </c>
      <c r="F409" t="inlineStr">
        <is>
          <t>INVATAMANT</t>
        </is>
      </c>
      <c r="G409" t="n">
        <v>59801.17</v>
      </c>
      <c r="H409" t="n">
        <v>13.7</v>
      </c>
      <c r="I409" t="n">
        <v>1480.59</v>
      </c>
      <c r="J409" t="inlineStr">
        <is>
          <t>Capitol prezent în topul verificat al municipiului; lista nu este exhaustivă.</t>
        </is>
      </c>
    </row>
    <row r="410">
      <c r="A410" t="n">
        <v>2024</v>
      </c>
      <c r="B410" t="inlineStr">
        <is>
          <t>151790</t>
        </is>
      </c>
      <c r="C410" t="inlineStr">
        <is>
          <t>Alexandria</t>
        </is>
      </c>
      <c r="D410" t="inlineStr">
        <is>
          <t>Teleorman</t>
        </is>
      </c>
      <c r="E410" t="inlineStr">
        <is>
          <t>68.02</t>
        </is>
      </c>
      <c r="F410" t="inlineStr">
        <is>
          <t>ASIGURARI SI ASISTENTA SOCIALA</t>
        </is>
      </c>
      <c r="G410" t="n">
        <v>27535.95</v>
      </c>
      <c r="H410" t="n">
        <v>6.31</v>
      </c>
      <c r="I410" t="n">
        <v>681.75</v>
      </c>
      <c r="J410" t="inlineStr">
        <is>
          <t>Capitol prezent în topul verificat al municipiului; lista nu este exhaustivă.</t>
        </is>
      </c>
    </row>
    <row r="411">
      <c r="A411" t="n">
        <v>2024</v>
      </c>
      <c r="B411" t="inlineStr">
        <is>
          <t>151790</t>
        </is>
      </c>
      <c r="C411" t="inlineStr">
        <is>
          <t>Alexandria</t>
        </is>
      </c>
      <c r="D411" t="inlineStr">
        <is>
          <t>Teleorman</t>
        </is>
      </c>
      <c r="E411" t="inlineStr">
        <is>
          <t>67.02</t>
        </is>
      </c>
      <c r="F411" t="inlineStr">
        <is>
          <t>CULTURA, RECREERE SI RELIGIE</t>
        </is>
      </c>
      <c r="G411" t="n">
        <v>22298.25</v>
      </c>
      <c r="H411" t="n">
        <v>5.11</v>
      </c>
      <c r="I411" t="n">
        <v>552.0700000000001</v>
      </c>
      <c r="J411" t="inlineStr">
        <is>
          <t>Capitol prezent în topul verificat al municipiului; lista nu este exhaustivă.</t>
        </is>
      </c>
    </row>
    <row r="412">
      <c r="A412" t="n">
        <v>2024</v>
      </c>
      <c r="B412" t="inlineStr">
        <is>
          <t>151790</t>
        </is>
      </c>
      <c r="C412" t="inlineStr">
        <is>
          <t>Alexandria</t>
        </is>
      </c>
      <c r="D412" t="inlineStr">
        <is>
          <t>Teleorman</t>
        </is>
      </c>
      <c r="E412" t="inlineStr">
        <is>
          <t>51.02</t>
        </is>
      </c>
      <c r="F412" t="inlineStr">
        <is>
          <t>AUTORITATI PUBLICE SI ACTIUNI EXTERNE</t>
        </is>
      </c>
      <c r="G412" t="n">
        <v>20779.28</v>
      </c>
      <c r="H412" t="n">
        <v>4.76</v>
      </c>
      <c r="I412" t="n">
        <v>514.47</v>
      </c>
      <c r="J412" t="inlineStr">
        <is>
          <t>Capitol prezent în topul verificat al municipiului; lista nu este exhaustivă.</t>
        </is>
      </c>
    </row>
    <row r="413">
      <c r="A413" t="n">
        <v>2024</v>
      </c>
      <c r="B413" t="inlineStr">
        <is>
          <t>151790</t>
        </is>
      </c>
      <c r="C413" t="inlineStr">
        <is>
          <t>Alexandria</t>
        </is>
      </c>
      <c r="D413" t="inlineStr">
        <is>
          <t>Teleorman</t>
        </is>
      </c>
      <c r="E413" t="inlineStr">
        <is>
          <t>74.02</t>
        </is>
      </c>
      <c r="F413" t="inlineStr">
        <is>
          <t>PROTECTIA MEDIULUI</t>
        </is>
      </c>
      <c r="G413" t="n">
        <v>9990</v>
      </c>
      <c r="H413" t="n">
        <v>2.29</v>
      </c>
      <c r="I413" t="n">
        <v>247.34</v>
      </c>
      <c r="J413" t="inlineStr">
        <is>
          <t>Capitol prezent în topul verificat al municipiului; lista nu este exhaustivă.</t>
        </is>
      </c>
    </row>
    <row r="414">
      <c r="A414" t="n">
        <v>2024</v>
      </c>
      <c r="B414" t="inlineStr">
        <is>
          <t>151790</t>
        </is>
      </c>
      <c r="C414" t="inlineStr">
        <is>
          <t>Alexandria</t>
        </is>
      </c>
      <c r="D414" t="inlineStr">
        <is>
          <t>Teleorman</t>
        </is>
      </c>
      <c r="E414" t="inlineStr">
        <is>
          <t>66.02</t>
        </is>
      </c>
      <c r="F414" t="inlineStr">
        <is>
          <t>SANATATE</t>
        </is>
      </c>
      <c r="G414" t="n">
        <v>5656.95</v>
      </c>
      <c r="H414" t="n">
        <v>1.3</v>
      </c>
      <c r="I414" t="n">
        <v>140.06</v>
      </c>
      <c r="J414" t="inlineStr">
        <is>
          <t>Capitol prezent în topul verificat al municipiului; lista nu este exhaustivă.</t>
        </is>
      </c>
    </row>
    <row r="415">
      <c r="A415" t="n">
        <v>2024</v>
      </c>
      <c r="B415" t="inlineStr">
        <is>
          <t>151790</t>
        </is>
      </c>
      <c r="C415" t="inlineStr">
        <is>
          <t>Alexandria</t>
        </is>
      </c>
      <c r="D415" t="inlineStr">
        <is>
          <t>Teleorman</t>
        </is>
      </c>
      <c r="E415" t="inlineStr">
        <is>
          <t>61.02</t>
        </is>
      </c>
      <c r="F415" t="inlineStr">
        <is>
          <t>ORDINE PUBLICA SI SIGURANTA NATIONALA</t>
        </is>
      </c>
      <c r="G415" t="n">
        <v>4304.54</v>
      </c>
      <c r="H415" t="n">
        <v>0.99</v>
      </c>
      <c r="I415" t="n">
        <v>106.57</v>
      </c>
      <c r="J415" t="inlineStr">
        <is>
          <t>Capitol prezent în topul verificat al municipiului; lista nu este exhaustivă.</t>
        </is>
      </c>
    </row>
    <row r="416">
      <c r="A416" t="n">
        <v>2024</v>
      </c>
      <c r="B416" t="inlineStr">
        <is>
          <t>151790</t>
        </is>
      </c>
      <c r="C416" t="inlineStr">
        <is>
          <t>Alexandria</t>
        </is>
      </c>
      <c r="D416" t="inlineStr">
        <is>
          <t>Teleorman</t>
        </is>
      </c>
      <c r="E416" t="inlineStr">
        <is>
          <t>54.02</t>
        </is>
      </c>
      <c r="F416" t="inlineStr">
        <is>
          <t>ALTE SERVICII PUBLICE GENERALE</t>
        </is>
      </c>
      <c r="G416" t="n">
        <v>2236.86</v>
      </c>
      <c r="H416" t="n">
        <v>0.51</v>
      </c>
      <c r="I416" t="n">
        <v>55.38</v>
      </c>
      <c r="J416" t="inlineStr">
        <is>
          <t>Capitol prezent în topul verificat al municipiului; lista nu este exhaustivă.</t>
        </is>
      </c>
    </row>
    <row r="417">
      <c r="A417" t="n">
        <v>2024</v>
      </c>
      <c r="B417" t="inlineStr">
        <is>
          <t>155243</t>
        </is>
      </c>
      <c r="C417" t="inlineStr">
        <is>
          <t>Timișoara</t>
        </is>
      </c>
      <c r="D417" t="inlineStr">
        <is>
          <t>Timiș</t>
        </is>
      </c>
      <c r="E417" t="inlineStr">
        <is>
          <t>84.02</t>
        </is>
      </c>
      <c r="F417" t="inlineStr">
        <is>
          <t>Transporturi</t>
        </is>
      </c>
      <c r="G417" t="n">
        <v>686977.25</v>
      </c>
      <c r="H417" t="n">
        <v>29.2</v>
      </c>
      <c r="I417" t="n">
        <v>2738.61</v>
      </c>
      <c r="J417" t="inlineStr">
        <is>
          <t>Capitol prezent în topul verificat al municipiului; lista nu este exhaustivă.</t>
        </is>
      </c>
    </row>
    <row r="418">
      <c r="A418" t="n">
        <v>2024</v>
      </c>
      <c r="B418" t="inlineStr">
        <is>
          <t>155243</t>
        </is>
      </c>
      <c r="C418" t="inlineStr">
        <is>
          <t>Timișoara</t>
        </is>
      </c>
      <c r="D418" t="inlineStr">
        <is>
          <t>Timiș</t>
        </is>
      </c>
      <c r="E418" t="inlineStr">
        <is>
          <t>65.02</t>
        </is>
      </c>
      <c r="F418" t="inlineStr">
        <is>
          <t>Invatamant</t>
        </is>
      </c>
      <c r="G418" t="n">
        <v>373107.36</v>
      </c>
      <c r="H418" t="n">
        <v>15.86</v>
      </c>
      <c r="I418" t="n">
        <v>1487.38</v>
      </c>
      <c r="J418" t="inlineStr">
        <is>
          <t>Capitol prezent în topul verificat al municipiului; lista nu este exhaustivă.</t>
        </is>
      </c>
    </row>
    <row r="419">
      <c r="A419" t="n">
        <v>2024</v>
      </c>
      <c r="B419" t="inlineStr">
        <is>
          <t>155243</t>
        </is>
      </c>
      <c r="C419" t="inlineStr">
        <is>
          <t>Timișoara</t>
        </is>
      </c>
      <c r="D419" t="inlineStr">
        <is>
          <t>Timiș</t>
        </is>
      </c>
      <c r="E419" t="inlineStr">
        <is>
          <t>67.02</t>
        </is>
      </c>
      <c r="F419" t="inlineStr">
        <is>
          <t>Cultura, recreere si religie</t>
        </is>
      </c>
      <c r="G419" t="n">
        <v>301999.69</v>
      </c>
      <c r="H419" t="n">
        <v>12.84</v>
      </c>
      <c r="I419" t="n">
        <v>1203.91</v>
      </c>
      <c r="J419" t="inlineStr">
        <is>
          <t>Capitol prezent în topul verificat al municipiului; lista nu este exhaustivă.</t>
        </is>
      </c>
    </row>
    <row r="420">
      <c r="A420" t="n">
        <v>2024</v>
      </c>
      <c r="B420" t="inlineStr">
        <is>
          <t>155243</t>
        </is>
      </c>
      <c r="C420" t="inlineStr">
        <is>
          <t>Timișoara</t>
        </is>
      </c>
      <c r="D420" t="inlineStr">
        <is>
          <t>Timiș</t>
        </is>
      </c>
      <c r="E420" t="inlineStr">
        <is>
          <t>70.02</t>
        </is>
      </c>
      <c r="F420" t="inlineStr">
        <is>
          <t>Locuinte, servicii si dezvoltare publica</t>
        </is>
      </c>
      <c r="G420" t="n">
        <v>207691.08</v>
      </c>
      <c r="H420" t="n">
        <v>8.83</v>
      </c>
      <c r="I420" t="n">
        <v>827.95</v>
      </c>
      <c r="J420" t="inlineStr">
        <is>
          <t>Capitol prezent în topul verificat al municipiului; lista nu este exhaustivă.</t>
        </is>
      </c>
    </row>
    <row r="421">
      <c r="A421" t="n">
        <v>2024</v>
      </c>
      <c r="B421" t="inlineStr">
        <is>
          <t>155243</t>
        </is>
      </c>
      <c r="C421" t="inlineStr">
        <is>
          <t>Timișoara</t>
        </is>
      </c>
      <c r="D421" t="inlineStr">
        <is>
          <t>Timiș</t>
        </is>
      </c>
      <c r="E421" t="inlineStr">
        <is>
          <t>68.02</t>
        </is>
      </c>
      <c r="F421" t="inlineStr">
        <is>
          <t>Asigurari si asistenta sociala</t>
        </is>
      </c>
      <c r="G421" t="n">
        <v>194524.94</v>
      </c>
      <c r="H421" t="n">
        <v>8.27</v>
      </c>
      <c r="I421" t="n">
        <v>775.47</v>
      </c>
      <c r="J421" t="inlineStr">
        <is>
          <t>Capitol prezent în topul verificat al municipiului; lista nu este exhaustivă.</t>
        </is>
      </c>
    </row>
    <row r="422">
      <c r="A422" t="n">
        <v>2024</v>
      </c>
      <c r="B422" t="inlineStr">
        <is>
          <t>155243</t>
        </is>
      </c>
      <c r="C422" t="inlineStr">
        <is>
          <t>Timișoara</t>
        </is>
      </c>
      <c r="D422" t="inlineStr">
        <is>
          <t>Timiș</t>
        </is>
      </c>
      <c r="E422" t="inlineStr">
        <is>
          <t>81.02</t>
        </is>
      </c>
      <c r="F422" t="inlineStr">
        <is>
          <t>Combustibili si energie</t>
        </is>
      </c>
      <c r="G422" t="n">
        <v>153215.51</v>
      </c>
      <c r="H422" t="n">
        <v>6.51</v>
      </c>
      <c r="I422" t="n">
        <v>610.79</v>
      </c>
      <c r="J422" t="inlineStr">
        <is>
          <t>Capitol prezent în topul verificat al municipiului; lista nu este exhaustivă.</t>
        </is>
      </c>
    </row>
    <row r="423">
      <c r="A423" t="n">
        <v>2024</v>
      </c>
      <c r="B423" t="inlineStr">
        <is>
          <t>155243</t>
        </is>
      </c>
      <c r="C423" t="inlineStr">
        <is>
          <t>Timișoara</t>
        </is>
      </c>
      <c r="D423" t="inlineStr">
        <is>
          <t>Timiș</t>
        </is>
      </c>
      <c r="E423" t="inlineStr">
        <is>
          <t>51.02</t>
        </is>
      </c>
      <c r="F423" t="inlineStr">
        <is>
          <t>Autoritati publice si actiuni externe</t>
        </is>
      </c>
      <c r="G423" t="n">
        <v>143332.88</v>
      </c>
      <c r="H423" t="n">
        <v>6.09</v>
      </c>
      <c r="I423" t="n">
        <v>571.39</v>
      </c>
      <c r="J423" t="inlineStr">
        <is>
          <t>Capitol prezent în topul verificat al municipiului; lista nu este exhaustivă.</t>
        </is>
      </c>
    </row>
    <row r="424">
      <c r="A424" t="n">
        <v>2024</v>
      </c>
      <c r="B424" t="inlineStr">
        <is>
          <t>155243</t>
        </is>
      </c>
      <c r="C424" t="inlineStr">
        <is>
          <t>Timișoara</t>
        </is>
      </c>
      <c r="D424" t="inlineStr">
        <is>
          <t>Timiș</t>
        </is>
      </c>
      <c r="E424" t="inlineStr">
        <is>
          <t>74.02</t>
        </is>
      </c>
      <c r="F424" t="inlineStr">
        <is>
          <t>Protectia mediului</t>
        </is>
      </c>
      <c r="G424" t="n">
        <v>124598.15</v>
      </c>
      <c r="H424" t="n">
        <v>5.3</v>
      </c>
      <c r="I424" t="n">
        <v>496.71</v>
      </c>
      <c r="J424" t="inlineStr">
        <is>
          <t>Capitol prezent în topul verificat al municipiului; lista nu este exhaustivă.</t>
        </is>
      </c>
    </row>
    <row r="425">
      <c r="A425" t="n">
        <v>2024</v>
      </c>
      <c r="B425" t="inlineStr">
        <is>
          <t>155243</t>
        </is>
      </c>
      <c r="C425" t="inlineStr">
        <is>
          <t>Timișoara</t>
        </is>
      </c>
      <c r="D425" t="inlineStr">
        <is>
          <t>Timiș</t>
        </is>
      </c>
      <c r="E425" t="inlineStr">
        <is>
          <t>66.02</t>
        </is>
      </c>
      <c r="F425" t="inlineStr">
        <is>
          <t>Sanatate</t>
        </is>
      </c>
      <c r="G425" t="n">
        <v>87888.77</v>
      </c>
      <c r="H425" t="n">
        <v>3.74</v>
      </c>
      <c r="I425" t="n">
        <v>350.37</v>
      </c>
      <c r="J425" t="inlineStr">
        <is>
          <t>Capitol prezent în topul verificat al municipiului; lista nu este exhaustivă.</t>
        </is>
      </c>
    </row>
    <row r="426">
      <c r="A426" t="n">
        <v>2024</v>
      </c>
      <c r="B426" t="inlineStr">
        <is>
          <t>155243</t>
        </is>
      </c>
      <c r="C426" t="inlineStr">
        <is>
          <t>Timișoara</t>
        </is>
      </c>
      <c r="D426" t="inlineStr">
        <is>
          <t>Timiș</t>
        </is>
      </c>
      <c r="E426" t="inlineStr">
        <is>
          <t>61.02</t>
        </is>
      </c>
      <c r="F426" t="inlineStr">
        <is>
          <t>Ordine publica si siguranta nationala</t>
        </is>
      </c>
      <c r="G426" t="n">
        <v>50093.81</v>
      </c>
      <c r="H426" t="n">
        <v>2.13</v>
      </c>
      <c r="I426" t="n">
        <v>199.7</v>
      </c>
      <c r="J426" t="inlineStr">
        <is>
          <t>Capitol prezent în topul verificat al municipiului; lista nu este exhaustivă.</t>
        </is>
      </c>
    </row>
    <row r="427">
      <c r="A427" t="n">
        <v>2024</v>
      </c>
      <c r="B427" t="inlineStr">
        <is>
          <t>159614</t>
        </is>
      </c>
      <c r="C427" t="inlineStr">
        <is>
          <t>Tulcea</t>
        </is>
      </c>
      <c r="D427" t="inlineStr">
        <is>
          <t>Tulcea</t>
        </is>
      </c>
      <c r="E427" t="inlineStr">
        <is>
          <t>68.02</t>
        </is>
      </c>
      <c r="F427" t="inlineStr">
        <is>
          <t>Asigurari si asistenta sociala</t>
        </is>
      </c>
      <c r="G427" t="n">
        <v>33318</v>
      </c>
      <c r="H427" t="n">
        <v>12.9</v>
      </c>
      <c r="I427" t="n">
        <v>507.71</v>
      </c>
      <c r="J427" t="inlineStr">
        <is>
          <t>Capitol prezent în topul verificat al municipiului; lista nu este exhaustivă.</t>
        </is>
      </c>
    </row>
    <row r="428">
      <c r="A428" t="n">
        <v>2024</v>
      </c>
      <c r="B428" t="inlineStr">
        <is>
          <t>159614</t>
        </is>
      </c>
      <c r="C428" t="inlineStr">
        <is>
          <t>Tulcea</t>
        </is>
      </c>
      <c r="D428" t="inlineStr">
        <is>
          <t>Tulcea</t>
        </is>
      </c>
      <c r="E428" t="inlineStr">
        <is>
          <t>51.02</t>
        </is>
      </c>
      <c r="F428" t="inlineStr">
        <is>
          <t>Autoritati publice si actiuni externe</t>
        </is>
      </c>
      <c r="G428" t="n">
        <v>32233.8</v>
      </c>
      <c r="H428" t="n">
        <v>12.48</v>
      </c>
      <c r="I428" t="n">
        <v>491.19</v>
      </c>
      <c r="J428" t="inlineStr">
        <is>
          <t>Capitol prezent în topul verificat al municipiului; lista nu este exhaustivă.</t>
        </is>
      </c>
    </row>
    <row r="429">
      <c r="A429" t="n">
        <v>2024</v>
      </c>
      <c r="B429" t="inlineStr">
        <is>
          <t>159614</t>
        </is>
      </c>
      <c r="C429" t="inlineStr">
        <is>
          <t>Tulcea</t>
        </is>
      </c>
      <c r="D429" t="inlineStr">
        <is>
          <t>Tulcea</t>
        </is>
      </c>
      <c r="E429" t="inlineStr">
        <is>
          <t>65.02</t>
        </is>
      </c>
      <c r="F429" t="inlineStr">
        <is>
          <t>Invatamant</t>
        </is>
      </c>
      <c r="G429" t="n">
        <v>24022.1</v>
      </c>
      <c r="H429" t="n">
        <v>9.300000000000001</v>
      </c>
      <c r="I429" t="n">
        <v>366.06</v>
      </c>
      <c r="J429" t="inlineStr">
        <is>
          <t>Capitol prezent în topul verificat al municipiului; lista nu este exhaustivă.</t>
        </is>
      </c>
    </row>
    <row r="430">
      <c r="A430" t="n">
        <v>2024</v>
      </c>
      <c r="B430" t="inlineStr">
        <is>
          <t>159614</t>
        </is>
      </c>
      <c r="C430" t="inlineStr">
        <is>
          <t>Tulcea</t>
        </is>
      </c>
      <c r="D430" t="inlineStr">
        <is>
          <t>Tulcea</t>
        </is>
      </c>
      <c r="E430" t="inlineStr">
        <is>
          <t>70.02</t>
        </is>
      </c>
      <c r="F430" t="inlineStr">
        <is>
          <t>Locuinte, servicii si dezvoltare publica</t>
        </is>
      </c>
      <c r="G430" t="n">
        <v>20474</v>
      </c>
      <c r="H430" t="n">
        <v>7.92</v>
      </c>
      <c r="I430" t="n">
        <v>311.99</v>
      </c>
      <c r="J430" t="inlineStr">
        <is>
          <t>Capitol prezent în topul verificat al municipiului; lista nu este exhaustivă.</t>
        </is>
      </c>
    </row>
    <row r="431">
      <c r="A431" t="n">
        <v>2024</v>
      </c>
      <c r="B431" t="inlineStr">
        <is>
          <t>159614</t>
        </is>
      </c>
      <c r="C431" t="inlineStr">
        <is>
          <t>Tulcea</t>
        </is>
      </c>
      <c r="D431" t="inlineStr">
        <is>
          <t>Tulcea</t>
        </is>
      </c>
      <c r="E431" t="inlineStr">
        <is>
          <t>84.02</t>
        </is>
      </c>
      <c r="F431" t="inlineStr">
        <is>
          <t>Transporturi</t>
        </is>
      </c>
      <c r="G431" t="n">
        <v>17025</v>
      </c>
      <c r="H431" t="n">
        <v>6.59</v>
      </c>
      <c r="I431" t="n">
        <v>259.43</v>
      </c>
      <c r="J431" t="inlineStr">
        <is>
          <t>Capitol prezent în topul verificat al municipiului; lista nu este exhaustivă.</t>
        </is>
      </c>
    </row>
    <row r="432">
      <c r="A432" t="n">
        <v>2024</v>
      </c>
      <c r="B432" t="inlineStr">
        <is>
          <t>159614</t>
        </is>
      </c>
      <c r="C432" t="inlineStr">
        <is>
          <t>Tulcea</t>
        </is>
      </c>
      <c r="D432" t="inlineStr">
        <is>
          <t>Tulcea</t>
        </is>
      </c>
      <c r="E432" t="inlineStr">
        <is>
          <t>67.02</t>
        </is>
      </c>
      <c r="F432" t="inlineStr">
        <is>
          <t>Cultura, recreere si religie</t>
        </is>
      </c>
      <c r="G432" t="n">
        <v>15266</v>
      </c>
      <c r="H432" t="n">
        <v>5.91</v>
      </c>
      <c r="I432" t="n">
        <v>232.63</v>
      </c>
      <c r="J432" t="inlineStr">
        <is>
          <t>Capitol prezent în topul verificat al municipiului; lista nu este exhaustivă.</t>
        </is>
      </c>
    </row>
    <row r="433">
      <c r="A433" t="n">
        <v>2024</v>
      </c>
      <c r="B433" t="inlineStr">
        <is>
          <t>159614</t>
        </is>
      </c>
      <c r="C433" t="inlineStr">
        <is>
          <t>Tulcea</t>
        </is>
      </c>
      <c r="D433" t="inlineStr">
        <is>
          <t>Tulcea</t>
        </is>
      </c>
      <c r="E433" t="inlineStr">
        <is>
          <t>74.02</t>
        </is>
      </c>
      <c r="F433" t="inlineStr">
        <is>
          <t>Protectia mediului</t>
        </is>
      </c>
      <c r="G433" t="n">
        <v>12534.6</v>
      </c>
      <c r="H433" t="n">
        <v>4.85</v>
      </c>
      <c r="I433" t="n">
        <v>191.01</v>
      </c>
      <c r="J433" t="inlineStr">
        <is>
          <t>Capitol prezent în topul verificat al municipiului; lista nu este exhaustivă.</t>
        </is>
      </c>
    </row>
    <row r="434">
      <c r="A434" t="n">
        <v>2024</v>
      </c>
      <c r="B434" t="inlineStr">
        <is>
          <t>159614</t>
        </is>
      </c>
      <c r="C434" t="inlineStr">
        <is>
          <t>Tulcea</t>
        </is>
      </c>
      <c r="D434" t="inlineStr">
        <is>
          <t>Tulcea</t>
        </is>
      </c>
      <c r="E434" t="inlineStr">
        <is>
          <t>61.02</t>
        </is>
      </c>
      <c r="F434" t="inlineStr">
        <is>
          <t>Ordine publica si siguranta nationala</t>
        </is>
      </c>
      <c r="G434" t="n">
        <v>10148</v>
      </c>
      <c r="H434" t="n">
        <v>3.93</v>
      </c>
      <c r="I434" t="n">
        <v>154.64</v>
      </c>
      <c r="J434" t="inlineStr">
        <is>
          <t>Capitol prezent în topul verificat al municipiului; lista nu este exhaustivă.</t>
        </is>
      </c>
    </row>
    <row r="435">
      <c r="A435" t="n">
        <v>2024</v>
      </c>
      <c r="B435" t="inlineStr">
        <is>
          <t>159614</t>
        </is>
      </c>
      <c r="C435" t="inlineStr">
        <is>
          <t>Tulcea</t>
        </is>
      </c>
      <c r="D435" t="inlineStr">
        <is>
          <t>Tulcea</t>
        </is>
      </c>
      <c r="E435" t="inlineStr">
        <is>
          <t>66.02</t>
        </is>
      </c>
      <c r="F435" t="inlineStr">
        <is>
          <t>Sanatate</t>
        </is>
      </c>
      <c r="G435" t="n">
        <v>6402.6</v>
      </c>
      <c r="H435" t="n">
        <v>2.48</v>
      </c>
      <c r="I435" t="n">
        <v>97.56</v>
      </c>
      <c r="J435" t="inlineStr">
        <is>
          <t>Capitol prezent în topul verificat al municipiului; lista nu este exhaustivă.</t>
        </is>
      </c>
    </row>
    <row r="436">
      <c r="A436" t="n">
        <v>2024</v>
      </c>
      <c r="B436" t="inlineStr">
        <is>
          <t>159614</t>
        </is>
      </c>
      <c r="C436" t="inlineStr">
        <is>
          <t>Tulcea</t>
        </is>
      </c>
      <c r="D436" t="inlineStr">
        <is>
          <t>Tulcea</t>
        </is>
      </c>
      <c r="E436" t="inlineStr">
        <is>
          <t>87.02</t>
        </is>
      </c>
      <c r="F436" t="inlineStr">
        <is>
          <t>Alte actiuni economice</t>
        </is>
      </c>
      <c r="G436" t="n">
        <v>6100</v>
      </c>
      <c r="H436" t="n">
        <v>2.36</v>
      </c>
      <c r="I436" t="n">
        <v>92.95</v>
      </c>
      <c r="J436" t="inlineStr">
        <is>
          <t>Capitol prezent în topul verificat al municipiului; lista nu este exhaustivă.</t>
        </is>
      </c>
    </row>
    <row r="437">
      <c r="A437" t="n">
        <v>2024</v>
      </c>
      <c r="B437" t="inlineStr">
        <is>
          <t>161945</t>
        </is>
      </c>
      <c r="C437" t="inlineStr">
        <is>
          <t>Vaslui</t>
        </is>
      </c>
      <c r="D437" t="inlineStr">
        <is>
          <t>Vaslui</t>
        </is>
      </c>
      <c r="E437" t="inlineStr">
        <is>
          <t>84.02</t>
        </is>
      </c>
      <c r="F437" t="inlineStr">
        <is>
          <t>Transporturi - din care titlurile:</t>
        </is>
      </c>
      <c r="G437" t="n">
        <v>194801000</v>
      </c>
      <c r="H437" t="n">
        <v>39468.31</v>
      </c>
      <c r="I437" t="n">
        <v>3090362.5</v>
      </c>
      <c r="J437" t="inlineStr">
        <is>
          <t>Capitol prezent în topul verificat al municipiului; lista nu este exhaustivă.</t>
        </is>
      </c>
    </row>
    <row r="438">
      <c r="A438" t="n">
        <v>2024</v>
      </c>
      <c r="B438" t="inlineStr">
        <is>
          <t>161945</t>
        </is>
      </c>
      <c r="C438" t="inlineStr">
        <is>
          <t>Vaslui</t>
        </is>
      </c>
      <c r="D438" t="inlineStr">
        <is>
          <t>Vaslui</t>
        </is>
      </c>
      <c r="E438" t="inlineStr">
        <is>
          <t>70.02</t>
        </is>
      </c>
      <c r="F438" t="inlineStr">
        <is>
          <t>Locuințe, servicii și dezvoltare publică - din care titlurile:</t>
        </is>
      </c>
      <c r="G438" t="n">
        <v>63247080</v>
      </c>
      <c r="H438" t="n">
        <v>12814.39</v>
      </c>
      <c r="I438" t="n">
        <v>1003364.48</v>
      </c>
      <c r="J438" t="inlineStr">
        <is>
          <t>Capitol prezent în topul verificat al municipiului; lista nu este exhaustivă.</t>
        </is>
      </c>
    </row>
    <row r="439">
      <c r="A439" t="n">
        <v>2024</v>
      </c>
      <c r="B439" t="inlineStr">
        <is>
          <t>161945</t>
        </is>
      </c>
      <c r="C439" t="inlineStr">
        <is>
          <t>Vaslui</t>
        </is>
      </c>
      <c r="D439" t="inlineStr">
        <is>
          <t>Vaslui</t>
        </is>
      </c>
      <c r="E439" t="inlineStr">
        <is>
          <t>65.02</t>
        </is>
      </c>
      <c r="F439" t="inlineStr">
        <is>
          <t>Învățământ - din care titlurile:</t>
        </is>
      </c>
      <c r="G439" t="n">
        <v>61247000</v>
      </c>
      <c r="H439" t="n">
        <v>12409.15</v>
      </c>
      <c r="I439" t="n">
        <v>971634.8100000001</v>
      </c>
      <c r="J439" t="inlineStr">
        <is>
          <t>Capitol prezent în topul verificat al municipiului; lista nu este exhaustivă.</t>
        </is>
      </c>
    </row>
    <row r="440">
      <c r="A440" t="n">
        <v>2024</v>
      </c>
      <c r="B440" t="inlineStr">
        <is>
          <t>161945</t>
        </is>
      </c>
      <c r="C440" t="inlineStr">
        <is>
          <t>Vaslui</t>
        </is>
      </c>
      <c r="D440" t="inlineStr">
        <is>
          <t>Vaslui</t>
        </is>
      </c>
      <c r="E440" t="inlineStr">
        <is>
          <t>68.02</t>
        </is>
      </c>
      <c r="F440" t="inlineStr">
        <is>
          <t>Asigurări și asistență socială - din care titlurile:</t>
        </is>
      </c>
      <c r="G440" t="n">
        <v>48726000</v>
      </c>
      <c r="H440" t="n">
        <v>9872.290000000001</v>
      </c>
      <c r="I440" t="n">
        <v>772999.13</v>
      </c>
      <c r="J440" t="inlineStr">
        <is>
          <t>Capitol prezent în topul verificat al municipiului; lista nu este exhaustivă.</t>
        </is>
      </c>
    </row>
    <row r="441">
      <c r="A441" t="n">
        <v>2024</v>
      </c>
      <c r="B441" t="inlineStr">
        <is>
          <t>161945</t>
        </is>
      </c>
      <c r="C441" t="inlineStr">
        <is>
          <t>Vaslui</t>
        </is>
      </c>
      <c r="D441" t="inlineStr">
        <is>
          <t>Vaslui</t>
        </is>
      </c>
      <c r="E441" t="inlineStr">
        <is>
          <t>51.02</t>
        </is>
      </c>
      <c r="F441" t="inlineStr">
        <is>
          <t>Autorități publice și acțiuni externe - din care titlurile:</t>
        </is>
      </c>
      <c r="G441" t="n">
        <v>37385000</v>
      </c>
      <c r="H441" t="n">
        <v>7574.51</v>
      </c>
      <c r="I441" t="n">
        <v>593083.21</v>
      </c>
      <c r="J441" t="inlineStr">
        <is>
          <t>Capitol prezent în topul verificat al municipiului; lista nu este exhaustivă.</t>
        </is>
      </c>
    </row>
    <row r="442">
      <c r="A442" t="n">
        <v>2024</v>
      </c>
      <c r="B442" t="inlineStr">
        <is>
          <t>161945</t>
        </is>
      </c>
      <c r="C442" t="inlineStr">
        <is>
          <t>Vaslui</t>
        </is>
      </c>
      <c r="D442" t="inlineStr">
        <is>
          <t>Vaslui</t>
        </is>
      </c>
      <c r="E442" t="inlineStr">
        <is>
          <t>74.02</t>
        </is>
      </c>
      <c r="F442" t="inlineStr">
        <is>
          <t>Protecția mediului - din care titlurile:</t>
        </is>
      </c>
      <c r="G442" t="n">
        <v>33338000</v>
      </c>
      <c r="H442" t="n">
        <v>6754.56</v>
      </c>
      <c r="I442" t="n">
        <v>528880.78</v>
      </c>
      <c r="J442" t="inlineStr">
        <is>
          <t>Capitol prezent în topul verificat al municipiului; lista nu este exhaustivă.</t>
        </is>
      </c>
    </row>
    <row r="443">
      <c r="A443" t="n">
        <v>2024</v>
      </c>
      <c r="B443" t="inlineStr">
        <is>
          <t>161945</t>
        </is>
      </c>
      <c r="C443" t="inlineStr">
        <is>
          <t>Vaslui</t>
        </is>
      </c>
      <c r="D443" t="inlineStr">
        <is>
          <t>Vaslui</t>
        </is>
      </c>
      <c r="E443" t="inlineStr">
        <is>
          <t>00.01</t>
        </is>
      </c>
      <c r="F443" t="inlineStr">
        <is>
          <t>VENITURILE SECTIUNII DE FUNCTIONARE</t>
        </is>
      </c>
      <c r="G443" t="n">
        <v>32001000</v>
      </c>
      <c r="H443" t="n">
        <v>6483.67</v>
      </c>
      <c r="I443" t="n">
        <v>507670.34</v>
      </c>
      <c r="J443" t="inlineStr">
        <is>
          <t>Capitol prezent în topul verificat al municipiului; lista nu este exhaustivă.</t>
        </is>
      </c>
    </row>
    <row r="444">
      <c r="A444" t="n">
        <v>2024</v>
      </c>
      <c r="B444" t="inlineStr">
        <is>
          <t>161945</t>
        </is>
      </c>
      <c r="C444" t="inlineStr">
        <is>
          <t>Vaslui</t>
        </is>
      </c>
      <c r="D444" t="inlineStr">
        <is>
          <t>Vaslui</t>
        </is>
      </c>
      <c r="E444" t="inlineStr">
        <is>
          <t>67.02</t>
        </is>
      </c>
      <c r="F444" t="inlineStr">
        <is>
          <t>Cultură, recreere și religie - din care titlurile:</t>
        </is>
      </c>
      <c r="G444" t="n">
        <v>31728000</v>
      </c>
      <c r="H444" t="n">
        <v>6428.36</v>
      </c>
      <c r="I444" t="n">
        <v>503339.41</v>
      </c>
      <c r="J444" t="inlineStr">
        <is>
          <t>Capitol prezent în topul verificat al municipiului; lista nu este exhaustivă.</t>
        </is>
      </c>
    </row>
    <row r="445">
      <c r="A445" t="n">
        <v>2024</v>
      </c>
      <c r="B445" t="inlineStr">
        <is>
          <t>161945</t>
        </is>
      </c>
      <c r="C445" t="inlineStr">
        <is>
          <t>Vaslui</t>
        </is>
      </c>
      <c r="D445" t="inlineStr">
        <is>
          <t>Vaslui</t>
        </is>
      </c>
      <c r="E445" t="inlineStr">
        <is>
          <t>61.02</t>
        </is>
      </c>
      <c r="F445" t="inlineStr">
        <is>
          <t>Ordine publică și siguranță națională - din care titlurile:</t>
        </is>
      </c>
      <c r="G445" t="n">
        <v>14333000</v>
      </c>
      <c r="H445" t="n">
        <v>2903.99</v>
      </c>
      <c r="I445" t="n">
        <v>227381.61</v>
      </c>
      <c r="J445" t="inlineStr">
        <is>
          <t>Capitol prezent în topul verificat al municipiului; lista nu este exhaustivă.</t>
        </is>
      </c>
    </row>
    <row r="446">
      <c r="A446" t="n">
        <v>2024</v>
      </c>
      <c r="B446" t="inlineStr">
        <is>
          <t>161945</t>
        </is>
      </c>
      <c r="C446" t="inlineStr">
        <is>
          <t>Vaslui</t>
        </is>
      </c>
      <c r="D446" t="inlineStr">
        <is>
          <t>Vaslui</t>
        </is>
      </c>
      <c r="E446" t="inlineStr">
        <is>
          <t>61.10</t>
        </is>
      </c>
      <c r="F446" t="inlineStr">
        <is>
          <t>Ordine publică și siguranță națională - din care titlurile:</t>
        </is>
      </c>
      <c r="G446" t="n">
        <v>13675000</v>
      </c>
      <c r="H446" t="n">
        <v>2770.67</v>
      </c>
      <c r="I446" t="n">
        <v>216942.97</v>
      </c>
      <c r="J446" t="inlineStr">
        <is>
          <t>Capitol prezent în topul verificat al municipiului; lista nu este exhaustivă.</t>
        </is>
      </c>
    </row>
  </sheetData>
  <autoFilter ref="A1:J4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92" customWidth="1" min="3" max="3"/>
  </cols>
  <sheetData>
    <row r="1" ht="30" customHeight="1">
      <c r="A1" s="4" t="inlineStr">
        <is>
          <t>Strat</t>
        </is>
      </c>
      <c r="B1" s="4" t="inlineStr">
        <is>
          <t>Câmp</t>
        </is>
      </c>
      <c r="C1" s="4" t="inlineStr">
        <is>
          <t>Valoare</t>
        </is>
      </c>
    </row>
    <row r="2">
      <c r="A2" t="inlineStr">
        <is>
          <t>budget_plan</t>
        </is>
      </c>
      <c r="B2" t="inlineStr">
        <is>
          <t>description</t>
        </is>
      </c>
      <c r="C2" s="2" t="inlineStr">
        <is>
          <t>analysis.json din bundle-ul public auditat al fiecărui PDF bugetar</t>
        </is>
      </c>
    </row>
    <row r="3">
      <c r="A3" t="inlineStr">
        <is>
          <t>budget_plan</t>
        </is>
      </c>
      <c r="B3" t="inlineStr">
        <is>
          <t>join_key</t>
        </is>
      </c>
      <c r="C3" s="2" t="inlineStr">
        <is>
          <t>SIRUTA + an</t>
        </is>
      </c>
    </row>
    <row r="4">
      <c r="A4" t="inlineStr">
        <is>
          <t>execution</t>
        </is>
      </c>
      <c r="B4" t="inlineStr">
        <is>
          <t>description</t>
        </is>
      </c>
      <c r="C4" s="2" t="inlineStr">
        <is>
          <t>rapoarte trimestriale Forexebug, păstrate separat de plan</t>
        </is>
      </c>
    </row>
    <row r="5">
      <c r="A5" t="inlineStr">
        <is>
          <t>execution</t>
        </is>
      </c>
      <c r="B5" t="inlineStr">
        <is>
          <t>join_key</t>
        </is>
      </c>
      <c r="C5" s="2" t="inlineStr">
        <is>
          <t>SIRUTA + an</t>
        </is>
      </c>
    </row>
    <row r="6">
      <c r="A6" t="inlineStr">
        <is>
          <t>populatie</t>
        </is>
      </c>
      <c r="B6" t="inlineStr">
        <is>
          <t>descriere</t>
        </is>
      </c>
      <c r="C6" s="2" t="inlineStr">
        <is>
          <t>Populația rezidentă la 1 decembrie 2021, RPL2021 INS, tabelul 1.22; asociere după cod SIRUTA.</t>
        </is>
      </c>
    </row>
    <row r="7">
      <c r="A7" t="inlineStr">
        <is>
          <t>populatie</t>
        </is>
      </c>
      <c r="B7" t="inlineStr">
        <is>
          <t>url</t>
        </is>
      </c>
      <c r="C7" s="2" t="inlineStr">
        <is>
          <t>https://www.recensamantromania.ro/rezultate-rpl-2021/rezultate-definitive/</t>
        </is>
      </c>
    </row>
    <row r="8">
      <c r="A8" t="inlineStr">
        <is>
          <t>populatie</t>
        </is>
      </c>
      <c r="B8" t="inlineStr">
        <is>
          <t>fisier_url</t>
        </is>
      </c>
      <c r="C8" s="2" t="inlineStr">
        <is>
          <t>https://www.recensamantromania.ro/wp-content/uploads/2023/05/Tabel-1.22.xlsx</t>
        </is>
      </c>
    </row>
    <row r="9">
      <c r="A9" t="inlineStr">
        <is>
          <t>populatie</t>
        </is>
      </c>
      <c r="B9" t="inlineStr">
        <is>
          <t>referinta</t>
        </is>
      </c>
      <c r="C9" s="2" t="inlineStr">
        <is>
          <t>2021-12-01</t>
        </is>
      </c>
    </row>
    <row r="10">
      <c r="A10" t="inlineStr">
        <is>
          <t>populatie</t>
        </is>
      </c>
      <c r="B10" t="inlineStr">
        <is>
          <t>verificat_la</t>
        </is>
      </c>
      <c r="C10" s="2" t="inlineStr">
        <is>
          <t>2026-08-25</t>
        </is>
      </c>
    </row>
    <row r="11">
      <c r="A11" t="inlineStr">
        <is>
          <t>suprafata</t>
        </is>
      </c>
      <c r="B11" t="inlineStr">
        <is>
          <t>descriere</t>
        </is>
      </c>
      <c r="C11" s="2" t="inlineStr">
        <is>
          <t>Suprafața municipiilor prin Wikidata; Sfântu Gheorghe și Miercurea Ciuc completate din infobox-urile Wikipedia.</t>
        </is>
      </c>
    </row>
    <row r="12">
      <c r="A12" t="inlineStr">
        <is>
          <t>suprafata</t>
        </is>
      </c>
      <c r="B12" t="inlineStr">
        <is>
          <t>url</t>
        </is>
      </c>
      <c r="C12" s="2" t="inlineStr">
        <is>
          <t>https://www.wikidata.org/</t>
        </is>
      </c>
    </row>
    <row r="13">
      <c r="A13" t="inlineStr">
        <is>
          <t>suprafata</t>
        </is>
      </c>
      <c r="B13" t="inlineStr">
        <is>
          <t>interogat_la</t>
        </is>
      </c>
      <c r="C13" s="2" t="inlineStr">
        <is>
          <t>2026-08-24</t>
        </is>
      </c>
    </row>
    <row r="14">
      <c r="A14" t="inlineStr">
        <is>
          <t>regional_classification</t>
        </is>
      </c>
      <c r="B14" t="inlineStr">
        <is>
          <t>schema_version</t>
        </is>
      </c>
      <c r="C14" s="2" t="n">
        <v>1</v>
      </c>
    </row>
    <row r="15">
      <c r="A15" t="inlineStr">
        <is>
          <t>regional_classification</t>
        </is>
      </c>
      <c r="B15" t="inlineStr">
        <is>
          <t>dataset_version</t>
        </is>
      </c>
      <c r="C15" s="2" t="inlineStr">
        <is>
          <t>NUTS 2024</t>
        </is>
      </c>
    </row>
    <row r="16">
      <c r="A16" t="inlineStr">
        <is>
          <t>regional_classification</t>
        </is>
      </c>
      <c r="B16" t="inlineStr">
        <is>
          <t>description</t>
        </is>
      </c>
      <c r="C16" s="2" t="inlineStr">
        <is>
          <t>Eurostat GISCO NUTS 2024 classification for Romania; county codes are the corpus manifest join keys and NUTS 3 names/codes come from the official attribute table.</t>
        </is>
      </c>
    </row>
    <row r="17">
      <c r="A17" t="inlineStr">
        <is>
          <t>regional_classification</t>
        </is>
      </c>
      <c r="B17" t="inlineStr">
        <is>
          <t>url</t>
        </is>
      </c>
      <c r="C17" s="2" t="inlineStr">
        <is>
          <t>https://gisco-services.ec.europa.eu/distribution/v2/nuts/nuts-2024-files.html</t>
        </is>
      </c>
    </row>
    <row r="18">
      <c r="A18" t="inlineStr">
        <is>
          <t>regional_classification</t>
        </is>
      </c>
      <c r="B18" t="inlineStr">
        <is>
          <t>file_url</t>
        </is>
      </c>
      <c r="C18" s="2" t="inlineStr">
        <is>
          <t>https://gisco-services.ec.europa.eu/distribution/v2/nuts/csv/NUTS_AT_2024.csv</t>
        </is>
      </c>
    </row>
    <row r="19">
      <c r="A19" t="inlineStr">
        <is>
          <t>regional_classification</t>
        </is>
      </c>
      <c r="B19" t="inlineStr">
        <is>
          <t>valid_from</t>
        </is>
      </c>
      <c r="C19" s="2" t="inlineStr">
        <is>
          <t>2024-01-01</t>
        </is>
      </c>
    </row>
    <row r="20">
      <c r="A20" t="inlineStr">
        <is>
          <t>regional_classification</t>
        </is>
      </c>
      <c r="B20" t="inlineStr">
        <is>
          <t>retrieved_at</t>
        </is>
      </c>
      <c r="C20" s="2" t="inlineStr">
        <is>
          <t>2026-08-26</t>
        </is>
      </c>
    </row>
    <row r="21">
      <c r="A21" t="inlineStr">
        <is>
          <t>regional_classification</t>
        </is>
      </c>
      <c r="B21" t="inlineStr">
        <is>
          <t>license</t>
        </is>
      </c>
      <c r="C21" s="2" t="inlineStr">
        <is>
          <t>Eurostat free re-use policy / CC BY 4.0; source attribution required</t>
        </is>
      </c>
    </row>
    <row r="22">
      <c r="A22" t="inlineStr">
        <is>
          <t>regional_classification</t>
        </is>
      </c>
      <c r="B22" t="inlineStr">
        <is>
          <t>license_url</t>
        </is>
      </c>
      <c r="C22" s="2" t="inlineStr">
        <is>
          <t>https://ec.europa.eu/eurostat/help/copyright-notice</t>
        </is>
      </c>
    </row>
    <row r="23">
      <c r="A23" t="inlineStr">
        <is>
          <t>regional_classification</t>
        </is>
      </c>
      <c r="B23" t="inlineStr">
        <is>
          <t>join_keys</t>
        </is>
      </c>
      <c r="C23" s="2" t="inlineStr">
        <is>
          <t>["county_code"]</t>
        </is>
      </c>
    </row>
    <row r="24">
      <c r="A24" t="inlineStr">
        <is>
          <t>inflation</t>
        </is>
      </c>
      <c r="B24" t="inlineStr">
        <is>
          <t>schema_version</t>
        </is>
      </c>
      <c r="C24" s="2" t="n">
        <v>1</v>
      </c>
    </row>
    <row r="25">
      <c r="A25" t="inlineStr">
        <is>
          <t>inflation</t>
        </is>
      </c>
      <c r="B25" t="inlineStr">
        <is>
          <t>dataset_version</t>
        </is>
      </c>
      <c r="C25" s="2" t="inlineStr">
        <is>
          <t>Eurostat prc_hicp_ainr, updated 2026-07-17</t>
        </is>
      </c>
    </row>
    <row r="26">
      <c r="A26" t="inlineStr">
        <is>
          <t>inflation</t>
        </is>
      </c>
      <c r="B26" t="inlineStr">
        <is>
          <t>description</t>
        </is>
      </c>
      <c r="C26" s="2" t="inlineStr">
        <is>
          <t>Eurostat HICP all-items, annual average rate of change for Romania. Observed calendar-year inflation, not a forecast.</t>
        </is>
      </c>
    </row>
    <row r="27">
      <c r="A27" t="inlineStr">
        <is>
          <t>inflation</t>
        </is>
      </c>
      <c r="B27" t="inlineStr">
        <is>
          <t>dataset_code</t>
        </is>
      </c>
      <c r="C27" s="2" t="inlineStr">
        <is>
          <t>prc_hicp_ainr</t>
        </is>
      </c>
    </row>
    <row r="28">
      <c r="A28" t="inlineStr">
        <is>
          <t>inflation</t>
        </is>
      </c>
      <c r="B28" t="inlineStr">
        <is>
          <t>url</t>
        </is>
      </c>
      <c r="C28" s="2" t="inlineStr">
        <is>
          <t>https://ec.europa.eu/eurostat/databrowser/view/prc_hicp_ainr/default/table?lang=en</t>
        </is>
      </c>
    </row>
    <row r="29">
      <c r="A29" t="inlineStr">
        <is>
          <t>inflation</t>
        </is>
      </c>
      <c r="B29" t="inlineStr">
        <is>
          <t>api_url</t>
        </is>
      </c>
      <c r="C29" s="2" t="inlineStr">
        <is>
          <t>https://ec.europa.eu/eurostat/api/dissemination/statistics/1.0/data/prc_hicp_ainr?lang=en&amp;geo=RO&amp;unit=RCH_A_AVG&amp;coicop18=TOTAL</t>
        </is>
      </c>
    </row>
    <row r="30">
      <c r="A30" t="inlineStr">
        <is>
          <t>inflation</t>
        </is>
      </c>
      <c r="B30" t="inlineStr">
        <is>
          <t>retrieved_at</t>
        </is>
      </c>
      <c r="C30" s="2" t="inlineStr">
        <is>
          <t>2026-08-26</t>
        </is>
      </c>
    </row>
    <row r="31">
      <c r="A31" t="inlineStr">
        <is>
          <t>inflation</t>
        </is>
      </c>
      <c r="B31" t="inlineStr">
        <is>
          <t>license</t>
        </is>
      </c>
      <c r="C31" s="2" t="inlineStr">
        <is>
          <t>Eurostat free re-use policy / CC BY 4.0; source attribution required</t>
        </is>
      </c>
    </row>
    <row r="32">
      <c r="A32" t="inlineStr">
        <is>
          <t>inflation</t>
        </is>
      </c>
      <c r="B32" t="inlineStr">
        <is>
          <t>license_url</t>
        </is>
      </c>
      <c r="C32" s="2" t="inlineStr">
        <is>
          <t>https://ec.europa.eu/eurostat/help/copyright-notice</t>
        </is>
      </c>
    </row>
    <row r="33">
      <c r="A33" t="inlineStr">
        <is>
          <t>inflation</t>
        </is>
      </c>
      <c r="B33" t="inlineStr">
        <is>
          <t>join_keys</t>
        </is>
      </c>
      <c r="C33" s="2" t="inlineStr">
        <is>
          <t>["year"]</t>
        </is>
      </c>
    </row>
    <row r="34">
      <c r="A34" t="inlineStr">
        <is>
          <t>inflation</t>
        </is>
      </c>
      <c r="B34" t="inlineStr">
        <is>
          <t>geography</t>
        </is>
      </c>
      <c r="C34" s="2" t="inlineStr">
        <is>
          <t>RO</t>
        </is>
      </c>
    </row>
    <row r="35">
      <c r="A35" t="inlineStr">
        <is>
          <t>inflation</t>
        </is>
      </c>
      <c r="B35" t="inlineStr">
        <is>
          <t>unit</t>
        </is>
      </c>
      <c r="C35" s="2" t="inlineStr">
        <is>
          <t>percent</t>
        </is>
      </c>
    </row>
  </sheetData>
  <autoFilter ref="A1:C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2026-08-27T18:27:42Z</dcterms:created>
  <dcterms:modified xmlns:dcterms="http://purl.org/dc/terms/" xmlns:xsi="http://www.w3.org/2001/XMLSchema-instance" xsi:type="dcterms:W3CDTF">2026-08-27T18:27:42Z</dcterms:modified>
</cp:coreProperties>
</file>