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 Date" sheetId="1" state="visible" r:id="rId1"/>
    <sheet xmlns:r="http://schemas.openxmlformats.org/officeDocument/2006/relationships" name="Probleme" sheetId="2" state="visible" r:id="rId2"/>
    <sheet xmlns:r="http://schemas.openxmlformats.org/officeDocument/2006/relationships" name="Sumar calit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4" fontId="0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0" fontId="0" fillId="4" borderId="0" pivotButton="0" quotePrefix="0" xfId="0"/>
    <xf numFmtId="0" fontId="2" fillId="4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8" customWidth="1" min="8" max="8"/>
    <col width="50" customWidth="1" min="9" max="9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Sursa</t>
        </is>
      </c>
      <c r="I1" s="1" t="inlineStr">
        <is>
          <t>Probleme</t>
        </is>
      </c>
    </row>
    <row r="2">
      <c r="A2" t="inlineStr">
        <is>
          <t>00.01</t>
        </is>
      </c>
      <c r="C2" s="2" t="inlineStr">
        <is>
          <t>VENITURI - TOTAL, din care:</t>
        </is>
      </c>
      <c r="E2" t="n">
        <v>1</v>
      </c>
      <c r="F2" t="inlineStr"/>
      <c r="G2" s="3" t="n">
        <v>491806.27</v>
      </c>
      <c r="H2" t="inlineStr">
        <is>
          <t>ocr</t>
        </is>
      </c>
    </row>
    <row r="3">
      <c r="A3" s="4" t="inlineStr">
        <is>
          <t>48.02</t>
        </is>
      </c>
      <c r="B3" s="4" t="n"/>
      <c r="C3" s="4" t="inlineStr">
        <is>
          <t>VENITURI PROPRII</t>
        </is>
      </c>
      <c r="D3" s="4" t="n"/>
      <c r="E3" s="4" t="n">
        <v>1</v>
      </c>
      <c r="F3" s="4" t="inlineStr">
        <is>
          <t>revenue</t>
        </is>
      </c>
      <c r="G3" s="5" t="n">
        <v>243944.27</v>
      </c>
      <c r="H3" s="4" t="inlineStr">
        <is>
          <t>ocr</t>
        </is>
      </c>
      <c r="I3" s="4" t="inlineStr">
        <is>
          <t>name mismatch vs nomenclator (18%): 'VENITURI PROPRII' vs 'Sume primite de la UE/alti donatori in c'</t>
        </is>
      </c>
    </row>
    <row r="4">
      <c r="A4" t="inlineStr">
        <is>
          <t>00.02</t>
        </is>
      </c>
      <c r="C4" s="2" t="inlineStr">
        <is>
          <t>1. VENITURI IMPOZITE SI TAXE</t>
        </is>
      </c>
      <c r="E4" t="n">
        <v>1</v>
      </c>
      <c r="F4" t="inlineStr"/>
      <c r="G4" s="3" t="n">
        <v>130859.28</v>
      </c>
      <c r="H4" t="inlineStr">
        <is>
          <t>ocr</t>
        </is>
      </c>
    </row>
    <row r="5">
      <c r="A5" t="inlineStr">
        <is>
          <t>04.02</t>
        </is>
      </c>
      <c r="C5" t="inlineStr">
        <is>
          <t>COTE SI SUME DEFALCATE DIN IMPOZITUL PE VENIT</t>
        </is>
      </c>
      <c r="E5" t="n">
        <v>1</v>
      </c>
      <c r="F5" t="inlineStr">
        <is>
          <t>revenue</t>
        </is>
      </c>
      <c r="G5" s="3" t="n">
        <v>113024</v>
      </c>
      <c r="H5" t="inlineStr">
        <is>
          <t>ocr</t>
        </is>
      </c>
    </row>
    <row r="6">
      <c r="A6" t="inlineStr">
        <is>
          <t>04.02.01</t>
        </is>
      </c>
      <c r="C6" t="inlineStr">
        <is>
          <t>A. Cote defalcate din impozitul pe venit (63 %)</t>
        </is>
      </c>
      <c r="E6" t="n">
        <v>1</v>
      </c>
      <c r="F6" t="inlineStr">
        <is>
          <t>revenue</t>
        </is>
      </c>
      <c r="G6" s="3" t="n">
        <v>113024</v>
      </c>
      <c r="H6" t="inlineStr">
        <is>
          <t>ocr</t>
        </is>
      </c>
    </row>
    <row r="7">
      <c r="A7" t="inlineStr">
        <is>
          <t>04.02.04</t>
        </is>
      </c>
      <c r="C7" t="inlineStr">
        <is>
          <t>B. Sume alocate de consiliul judetean pt echilibrarea bugetelor locale</t>
        </is>
      </c>
      <c r="E7" t="n">
        <v>1</v>
      </c>
      <c r="F7" t="inlineStr">
        <is>
          <t>revenue</t>
        </is>
      </c>
      <c r="G7" s="3" t="n">
        <v>0</v>
      </c>
      <c r="H7" t="inlineStr">
        <is>
          <t>ocr</t>
        </is>
      </c>
    </row>
    <row r="8">
      <c r="A8" t="inlineStr">
        <is>
          <t>11.02</t>
        </is>
      </c>
      <c r="C8" t="inlineStr">
        <is>
          <t>SUME DEFALCATE DIN TAXA PE VALOAREA ADĂUGATĂ PENTRU BUGETELE LOCALE</t>
        </is>
      </c>
      <c r="E8" t="n">
        <v>1</v>
      </c>
      <c r="F8" t="inlineStr">
        <is>
          <t>revenue</t>
        </is>
      </c>
      <c r="G8" s="3" t="n">
        <v>68745</v>
      </c>
      <c r="H8" t="inlineStr">
        <is>
          <t>ocr</t>
        </is>
      </c>
    </row>
    <row r="9">
      <c r="A9" t="inlineStr">
        <is>
          <t>11.02.02</t>
        </is>
      </c>
      <c r="C9">
        <f>Sume defalcate din TVA pt finantarea cheltuielilor descentralizate la nivelul judetelor, oraelor, comunelor si municipiului Bucuresti, din care:</f>
        <v/>
      </c>
      <c r="E9" t="n">
        <v>1</v>
      </c>
      <c r="F9" t="inlineStr">
        <is>
          <t>revenue</t>
        </is>
      </c>
      <c r="G9" s="3" t="n">
        <v>66883</v>
      </c>
      <c r="H9" t="inlineStr">
        <is>
          <t>ocr</t>
        </is>
      </c>
    </row>
    <row r="10">
      <c r="A10" t="inlineStr">
        <is>
          <t>11.02.06</t>
        </is>
      </c>
      <c r="C10">
        <f>Sume defalcate din TVA pt echilibrarea bugetelor locale</f>
        <v/>
      </c>
      <c r="E10" t="n">
        <v>1</v>
      </c>
      <c r="F10" t="inlineStr">
        <is>
          <t>revenue</t>
        </is>
      </c>
      <c r="G10" s="3" t="n">
        <v>0</v>
      </c>
      <c r="H10" t="inlineStr">
        <is>
          <t>ocr</t>
        </is>
      </c>
    </row>
    <row r="11">
      <c r="A11" t="inlineStr">
        <is>
          <t>11.02.09</t>
        </is>
      </c>
      <c r="C11">
        <f>Sume defalcate din TVA pt finantarea învățământului particular sau confesional acreditat</f>
        <v/>
      </c>
      <c r="E11" t="n">
        <v>1</v>
      </c>
      <c r="F11" t="inlineStr">
        <is>
          <t>revenue</t>
        </is>
      </c>
      <c r="G11" s="3" t="n">
        <v>1862</v>
      </c>
      <c r="H11" t="inlineStr">
        <is>
          <t>ocr</t>
        </is>
      </c>
    </row>
    <row r="12">
      <c r="A12" t="inlineStr">
        <is>
          <t>00.15</t>
        </is>
      </c>
      <c r="C12" s="2" t="inlineStr">
        <is>
          <t>II. VENITURI DIN CAPITAL</t>
        </is>
      </c>
      <c r="E12" t="n">
        <v>1</v>
      </c>
      <c r="F12" t="inlineStr"/>
      <c r="G12" s="3" t="n">
        <v>6609</v>
      </c>
      <c r="H12" t="inlineStr">
        <is>
          <t>ocr</t>
        </is>
      </c>
    </row>
    <row r="13">
      <c r="A13" t="inlineStr">
        <is>
          <t>42.02</t>
        </is>
      </c>
      <c r="C13" t="inlineStr">
        <is>
          <t>III. SUBVENTII</t>
        </is>
      </c>
      <c r="E13" t="n">
        <v>1</v>
      </c>
      <c r="F13" t="inlineStr">
        <is>
          <t>revenue</t>
        </is>
      </c>
      <c r="G13" s="3" t="n">
        <v>90818</v>
      </c>
      <c r="H13" t="inlineStr">
        <is>
          <t>ocr</t>
        </is>
      </c>
    </row>
    <row r="14">
      <c r="A14" t="inlineStr">
        <is>
          <t>42.02.34</t>
        </is>
      </c>
      <c r="C14" t="inlineStr">
        <is>
          <t>Subventii pentru acordarea ajutorului pentru încălzirea locuinței și a suplimentului pentru energie alocate pentru consumul de combustibili solizi și/sau petrolieri</t>
        </is>
      </c>
      <c r="E14" t="n">
        <v>1</v>
      </c>
      <c r="F14" t="inlineStr">
        <is>
          <t>revenue</t>
        </is>
      </c>
      <c r="G14" s="3" t="n">
        <v>440</v>
      </c>
      <c r="H14" t="inlineStr">
        <is>
          <t>ocr</t>
        </is>
      </c>
    </row>
    <row r="15">
      <c r="A15" t="inlineStr">
        <is>
          <t>42.02.41</t>
        </is>
      </c>
      <c r="C15" t="inlineStr">
        <is>
          <t>Subventii din bugetul de stat pentru finantarea sanatatii</t>
        </is>
      </c>
      <c r="E15" t="n">
        <v>1</v>
      </c>
      <c r="F15" t="inlineStr">
        <is>
          <t>revenue</t>
        </is>
      </c>
      <c r="G15" s="3" t="n">
        <v>82</v>
      </c>
      <c r="H15" t="inlineStr">
        <is>
          <t>ocr</t>
        </is>
      </c>
    </row>
    <row r="16">
      <c r="A16" t="inlineStr">
        <is>
          <t>42.02.66</t>
        </is>
      </c>
      <c r="C16" t="inlineStr">
        <is>
          <t>Subvenții din bugetul de stat alocate conform contractelor încheiate cu direcțiile de sănătate publică</t>
        </is>
      </c>
      <c r="E16" t="n">
        <v>1</v>
      </c>
      <c r="F16" t="inlineStr">
        <is>
          <t>revenue</t>
        </is>
      </c>
      <c r="G16" s="3" t="n">
        <v>5800</v>
      </c>
      <c r="H16" t="inlineStr">
        <is>
          <t>ocr</t>
        </is>
      </c>
    </row>
    <row r="17">
      <c r="A17" t="inlineStr">
        <is>
          <t>42.02.88</t>
        </is>
      </c>
      <c r="C17" t="inlineStr">
        <is>
          <t>Alocări de sume din PNRR aferente asistenței financiare nerambursabile (cod 42.02.88 01 la 42.02.88.04)</t>
        </is>
      </c>
      <c r="E17" t="n">
        <v>1</v>
      </c>
      <c r="F17" t="inlineStr">
        <is>
          <t>revenue</t>
        </is>
      </c>
      <c r="G17" s="3" t="n">
        <v>58469</v>
      </c>
      <c r="H17" t="inlineStr">
        <is>
          <t>ocr</t>
        </is>
      </c>
    </row>
    <row r="18">
      <c r="A18" t="inlineStr">
        <is>
          <t>42.02.88.01</t>
        </is>
      </c>
      <c r="C18" t="inlineStr">
        <is>
          <t>Fonduri europene nerambursabile</t>
        </is>
      </c>
      <c r="E18" t="n">
        <v>1</v>
      </c>
      <c r="F18" t="inlineStr">
        <is>
          <t>revenue</t>
        </is>
      </c>
      <c r="G18" s="3" t="n">
        <v>48614</v>
      </c>
      <c r="H18" t="inlineStr">
        <is>
          <t>ocr</t>
        </is>
      </c>
    </row>
    <row r="19">
      <c r="A19" s="4" t="inlineStr">
        <is>
          <t>42.02.88.02</t>
        </is>
      </c>
      <c r="B19" s="4" t="n"/>
      <c r="C19" s="4" t="inlineStr">
        <is>
          <t>Sume aferente TVA</t>
        </is>
      </c>
      <c r="D19" s="4" t="n"/>
      <c r="E19" s="4" t="n">
        <v>1</v>
      </c>
      <c r="F19" s="4" t="inlineStr">
        <is>
          <t>revenue</t>
        </is>
      </c>
      <c r="G19" s="5" t="n">
        <v>9855</v>
      </c>
      <c r="H19" s="4" t="inlineStr">
        <is>
          <t>ocr</t>
        </is>
      </c>
      <c r="I19" s="4" t="inlineStr">
        <is>
          <t>name mismatch vs nomenclator (36%): 'Sume aferente TVA' vs 'Finantare publica naționala'</t>
        </is>
      </c>
    </row>
    <row r="20">
      <c r="A20" t="inlineStr">
        <is>
          <t>42.02.89</t>
        </is>
      </c>
      <c r="C20" t="inlineStr">
        <is>
          <t>Alocări de sume din PNRR aferente componentei împrumuturi (cod42.02.89.01 la 42.02.89.03)</t>
        </is>
      </c>
      <c r="E20" t="n">
        <v>1</v>
      </c>
      <c r="F20" t="inlineStr">
        <is>
          <t>revenue</t>
        </is>
      </c>
      <c r="G20" s="3" t="n">
        <v>6920</v>
      </c>
      <c r="H20" t="inlineStr">
        <is>
          <t>ocr</t>
        </is>
      </c>
    </row>
    <row r="21">
      <c r="A21" t="inlineStr">
        <is>
          <t>42.02.89.01</t>
        </is>
      </c>
      <c r="C21" t="inlineStr">
        <is>
          <t>Fonduri din împrumut rambursabil</t>
        </is>
      </c>
      <c r="E21" t="n">
        <v>1</v>
      </c>
      <c r="F21" t="inlineStr">
        <is>
          <t>revenue</t>
        </is>
      </c>
      <c r="G21" s="3" t="n">
        <v>5719</v>
      </c>
      <c r="H21" t="inlineStr">
        <is>
          <t>ocr</t>
        </is>
      </c>
    </row>
    <row r="22">
      <c r="A22" s="4" t="inlineStr">
        <is>
          <t>42.02.89.02</t>
        </is>
      </c>
      <c r="B22" s="4" t="n"/>
      <c r="C22" s="4" t="inlineStr">
        <is>
          <t>Sume aferente TVA</t>
        </is>
      </c>
      <c r="D22" s="4" t="n"/>
      <c r="E22" s="4" t="n">
        <v>1</v>
      </c>
      <c r="F22" s="4" t="inlineStr">
        <is>
          <t>revenue</t>
        </is>
      </c>
      <c r="G22" s="5" t="n">
        <v>1201</v>
      </c>
      <c r="H22" s="4" t="inlineStr">
        <is>
          <t>ocr</t>
        </is>
      </c>
      <c r="I22" s="4" t="inlineStr">
        <is>
          <t>name mismatch vs nomenclator (36%): 'Sume aferente TVA' vs 'Finantare publica naționala'</t>
        </is>
      </c>
    </row>
    <row r="23">
      <c r="A23" t="inlineStr">
        <is>
          <t>42.02.93</t>
        </is>
      </c>
      <c r="C23" t="inlineStr">
        <is>
          <t>Sue i oi    e    e  de e din FEN postaderare, aferente perioadei de programare 2021-2027</t>
        </is>
      </c>
      <c r="E23" t="n">
        <v>1</v>
      </c>
      <c r="F23" t="inlineStr">
        <is>
          <t>revenue</t>
        </is>
      </c>
      <c r="G23" s="3" t="n">
        <v>19107</v>
      </c>
      <c r="H23" t="inlineStr">
        <is>
          <t>ocr</t>
        </is>
      </c>
    </row>
    <row r="24">
      <c r="C24" s="2" t="inlineStr">
        <is>
          <t>IV.SUBVENTII DE LA ALTE ADMINISTRATII</t>
        </is>
      </c>
      <c r="E24" t="n">
        <v>1</v>
      </c>
      <c r="F24" t="inlineStr"/>
      <c r="G24" s="3" t="n">
        <v>11371</v>
      </c>
      <c r="H24" t="inlineStr">
        <is>
          <t>ocr</t>
        </is>
      </c>
    </row>
    <row r="25">
      <c r="A25" t="inlineStr">
        <is>
          <t>43.02.34</t>
        </is>
      </c>
      <c r="C25" t="inlineStr">
        <is>
          <t>Sume alocate din bugetul ANCPI pentru finanțarea lucrărilor de înregistrare sistematică din cadrul Programului național de cadastru și carte funciară</t>
        </is>
      </c>
      <c r="E25" t="n">
        <v>1</v>
      </c>
      <c r="F25" t="inlineStr">
        <is>
          <t>revenue</t>
        </is>
      </c>
      <c r="G25" s="3" t="n">
        <v>150</v>
      </c>
      <c r="H25" t="inlineStr">
        <is>
          <t>ocr</t>
        </is>
      </c>
    </row>
    <row r="26">
      <c r="A26" t="inlineStr">
        <is>
          <t>43.02.44</t>
        </is>
      </c>
      <c r="C26" t="inlineStr">
        <is>
          <t>Sume alocate din sumele obținute în urma scoaterii la licitație a certificatelor de emisii de gaze cu efect de seră pentru finanțarea proiectelor de investiții</t>
        </is>
      </c>
      <c r="E26" t="n">
        <v>1</v>
      </c>
      <c r="F26" t="inlineStr">
        <is>
          <t>revenue</t>
        </is>
      </c>
      <c r="G26" s="3" t="n">
        <v>9986</v>
      </c>
      <c r="H26" t="inlineStr">
        <is>
          <t>ocr</t>
        </is>
      </c>
    </row>
    <row r="27">
      <c r="A27" t="inlineStr">
        <is>
          <t>43.02.49</t>
        </is>
      </c>
      <c r="C27" t="inlineStr">
        <is>
          <t>Sume alocate din PNRR aferente asistenței financiare nerambursabile (cod 43.02.49.01 la 43.02.49.03)</t>
        </is>
      </c>
      <c r="E27" t="n">
        <v>1</v>
      </c>
      <c r="F27" t="inlineStr">
        <is>
          <t>revenue</t>
        </is>
      </c>
      <c r="G27" s="3" t="n">
        <v>1235</v>
      </c>
      <c r="H27" t="inlineStr">
        <is>
          <t>ocr</t>
        </is>
      </c>
    </row>
    <row r="28">
      <c r="A28" t="inlineStr">
        <is>
          <t>43.02.49.01</t>
        </is>
      </c>
      <c r="C28" t="inlineStr">
        <is>
          <t>Fonduri europene nerambursabile</t>
        </is>
      </c>
      <c r="E28" t="n">
        <v>1</v>
      </c>
      <c r="F28" t="inlineStr">
        <is>
          <t>revenue</t>
        </is>
      </c>
      <c r="G28" s="3" t="n">
        <v>1025</v>
      </c>
      <c r="H28" t="inlineStr">
        <is>
          <t>ocr</t>
        </is>
      </c>
    </row>
    <row r="29">
      <c r="A29" t="inlineStr">
        <is>
          <t>43.02.49.03</t>
        </is>
      </c>
      <c r="C29" t="inlineStr">
        <is>
          <t>Sume aferente TVA</t>
        </is>
      </c>
      <c r="E29" t="n">
        <v>1</v>
      </c>
      <c r="F29" t="inlineStr">
        <is>
          <t>revenue</t>
        </is>
      </c>
      <c r="G29" s="3" t="n">
        <v>210</v>
      </c>
      <c r="H29" t="inlineStr">
        <is>
          <t>ocr</t>
        </is>
      </c>
    </row>
    <row r="30">
      <c r="A30" t="inlineStr">
        <is>
          <t>45.02</t>
        </is>
      </c>
      <c r="C30" t="inlineStr">
        <is>
          <t>V.SUME PRIMITE DE LA UE IN CONTUL PLATILOR EFECTUATE</t>
        </is>
      </c>
      <c r="E30" t="n">
        <v>1</v>
      </c>
      <c r="F30" t="inlineStr">
        <is>
          <t>revenue</t>
        </is>
      </c>
      <c r="G30" s="3" t="n">
        <v>76928</v>
      </c>
      <c r="H30" t="inlineStr">
        <is>
          <t>ocr</t>
        </is>
      </c>
    </row>
    <row r="31">
      <c r="A31" s="6" t="n"/>
      <c r="B31" s="6" t="n"/>
      <c r="C31" s="7" t="inlineStr">
        <is>
          <t>DENUMIREA INDICATORILOR</t>
        </is>
      </c>
      <c r="D31" s="6" t="n"/>
      <c r="E31" s="6" t="n">
        <v>1</v>
      </c>
      <c r="F31" s="6" t="inlineStr"/>
      <c r="G31" s="8" t="n"/>
      <c r="H31" s="6" t="inlineStr">
        <is>
          <t>ocr</t>
        </is>
      </c>
      <c r="I31" s="6" t="inlineStr">
        <is>
          <t>unparseable cell 'PROPUNERI BUGET 2026' in column total_2026</t>
        </is>
      </c>
    </row>
    <row r="32">
      <c r="A32" s="4" t="inlineStr">
        <is>
          <t>50.02</t>
        </is>
      </c>
      <c r="B32" s="4" t="n"/>
      <c r="C32" s="4" t="inlineStr">
        <is>
          <t>CHELTUIELI - TOTAL (cod 51.02 + 54.02 + 55.02 + 61.02 + 65.02 + 66.02 + 67.02 + 68.02 + 70.02 + 74.02 + 80.02 + 81.02 + 84.02)</t>
        </is>
      </c>
      <c r="D32" s="4" t="n"/>
      <c r="E32" s="4" t="n">
        <v>2</v>
      </c>
      <c r="F32" s="4" t="inlineStr">
        <is>
          <t>expense_functional</t>
        </is>
      </c>
      <c r="G32" s="5" t="n">
        <v>493008.7</v>
      </c>
      <c r="H32" s="4" t="inlineStr">
        <is>
          <t>ocr</t>
        </is>
      </c>
      <c r="I32" s="4" t="inlineStr">
        <is>
          <t>name mismatch vs nomenclator (30%): 'CHELTUIELI - TOTAL (cod 51.02 + 54.02 + ' vs 'Partea I-a SERVICII PUBLICE GENERALE'</t>
        </is>
      </c>
    </row>
    <row r="33">
      <c r="A33" t="inlineStr">
        <is>
          <t>51.02</t>
        </is>
      </c>
      <c r="C33" t="inlineStr">
        <is>
          <t>AUTORITATI PUBLICE</t>
        </is>
      </c>
      <c r="E33" t="n">
        <v>2</v>
      </c>
      <c r="F33" t="inlineStr">
        <is>
          <t>expense_functional</t>
        </is>
      </c>
      <c r="G33" s="3" t="n">
        <v>60883.1</v>
      </c>
      <c r="H33" t="inlineStr">
        <is>
          <t>ocr</t>
        </is>
      </c>
    </row>
    <row r="34">
      <c r="A34" t="inlineStr">
        <is>
          <t>10</t>
        </is>
      </c>
      <c r="B34" t="inlineStr">
        <is>
          <t>51.02</t>
        </is>
      </c>
      <c r="C34" t="inlineStr">
        <is>
          <t>CHELTUIELI DE PERSONAL</t>
        </is>
      </c>
      <c r="E34" t="n">
        <v>2</v>
      </c>
      <c r="F34" t="inlineStr">
        <is>
          <t>expense_economic</t>
        </is>
      </c>
      <c r="G34" s="3" t="n">
        <v>39000</v>
      </c>
      <c r="H34" t="inlineStr">
        <is>
          <t>ocr</t>
        </is>
      </c>
    </row>
    <row r="35">
      <c r="C35" s="2" t="inlineStr">
        <is>
          <t>PRIMARIA</t>
        </is>
      </c>
      <c r="E35" t="n">
        <v>2</v>
      </c>
      <c r="F35" t="inlineStr"/>
      <c r="G35" s="3" t="n">
        <v>39000</v>
      </c>
      <c r="H35" t="inlineStr">
        <is>
          <t>ocr</t>
        </is>
      </c>
    </row>
    <row r="36">
      <c r="A36" t="inlineStr">
        <is>
          <t>20</t>
        </is>
      </c>
      <c r="B36" t="inlineStr">
        <is>
          <t>51.02</t>
        </is>
      </c>
      <c r="C36" t="inlineStr">
        <is>
          <t>CHELTUIELI MATERIALE SI SERVICII</t>
        </is>
      </c>
      <c r="E36" t="n">
        <v>2</v>
      </c>
      <c r="F36" t="inlineStr">
        <is>
          <t>expense_economic</t>
        </is>
      </c>
      <c r="G36" s="3" t="n">
        <v>7000</v>
      </c>
      <c r="H36" t="inlineStr">
        <is>
          <t>ocr</t>
        </is>
      </c>
    </row>
    <row r="37">
      <c r="C37" s="2" t="inlineStr"/>
      <c r="E37" t="n">
        <v>2</v>
      </c>
      <c r="F37" t="inlineStr"/>
      <c r="G37" s="3" t="n">
        <v>7000</v>
      </c>
      <c r="H37" t="inlineStr">
        <is>
          <t>ocr</t>
        </is>
      </c>
    </row>
    <row r="38">
      <c r="A38" t="inlineStr">
        <is>
          <t>59</t>
        </is>
      </c>
      <c r="B38" t="inlineStr">
        <is>
          <t>51.02</t>
        </is>
      </c>
      <c r="C38" t="inlineStr">
        <is>
          <t>ALTE CHELTUIELI</t>
        </is>
      </c>
      <c r="E38" t="n">
        <v>2</v>
      </c>
      <c r="F38" t="inlineStr">
        <is>
          <t>expense_economic</t>
        </is>
      </c>
      <c r="G38" s="3" t="n">
        <v>904</v>
      </c>
      <c r="H38" t="inlineStr">
        <is>
          <t>ocr</t>
        </is>
      </c>
    </row>
    <row r="39">
      <c r="A39" t="inlineStr">
        <is>
          <t>60</t>
        </is>
      </c>
      <c r="B39" t="inlineStr">
        <is>
          <t>51.02</t>
        </is>
      </c>
      <c r="C39" t="inlineStr">
        <is>
          <t>Proiecte cu finanțare din sumele reprezentând asistența financiară nerambursabilă aferentă PNRR</t>
        </is>
      </c>
      <c r="E39" t="n">
        <v>2</v>
      </c>
      <c r="F39" t="inlineStr">
        <is>
          <t>expense_economic</t>
        </is>
      </c>
      <c r="G39" s="3" t="n">
        <v>3711</v>
      </c>
      <c r="H39" t="inlineStr">
        <is>
          <t>ocr</t>
        </is>
      </c>
    </row>
    <row r="40">
      <c r="A40" t="inlineStr">
        <is>
          <t>71.81</t>
        </is>
      </c>
      <c r="C40" s="2" t="inlineStr">
        <is>
          <t>CHELTUIELI DE CAPITAL RAMBURSARI DE CREDITE</t>
        </is>
      </c>
      <c r="E40" t="n">
        <v>2</v>
      </c>
      <c r="F40" t="inlineStr"/>
      <c r="G40" s="3" t="n">
        <v>1660108608</v>
      </c>
      <c r="H40" t="inlineStr">
        <is>
          <t>ocr</t>
        </is>
      </c>
    </row>
    <row r="41">
      <c r="A41" t="inlineStr">
        <is>
          <t>85</t>
        </is>
      </c>
      <c r="B41" t="inlineStr">
        <is>
          <t>51.02</t>
        </is>
      </c>
      <c r="C41" t="inlineStr">
        <is>
          <t>PLATI EFECTUATE IN ANI PRECEDENTI SI RECUPERATE IN ANUL CURENT Din total capitol :</t>
        </is>
      </c>
      <c r="E41" t="n">
        <v>2</v>
      </c>
      <c r="F41" t="inlineStr">
        <is>
          <t>expense_economic</t>
        </is>
      </c>
      <c r="G41" s="3" t="n"/>
      <c r="H41" t="inlineStr">
        <is>
          <t>ocr</t>
        </is>
      </c>
    </row>
    <row r="42">
      <c r="C42" s="2" t="inlineStr">
        <is>
          <t>Primăria Municipiului Piatra Neam</t>
        </is>
      </c>
      <c r="E42" t="n">
        <v>2</v>
      </c>
      <c r="F42" t="inlineStr"/>
      <c r="G42" s="3" t="n">
        <v>60883.1</v>
      </c>
      <c r="H42" t="inlineStr">
        <is>
          <t>ocr</t>
        </is>
      </c>
    </row>
    <row r="43">
      <c r="A43" t="inlineStr">
        <is>
          <t>54.02</t>
        </is>
      </c>
      <c r="C43" t="inlineStr">
        <is>
          <t>SERVICII PUBLICE GENERALE</t>
        </is>
      </c>
      <c r="E43" t="n">
        <v>2</v>
      </c>
      <c r="F43" t="inlineStr">
        <is>
          <t>expense_functional</t>
        </is>
      </c>
      <c r="G43" s="3" t="n">
        <v>5446</v>
      </c>
      <c r="H43" t="inlineStr">
        <is>
          <t>ocr</t>
        </is>
      </c>
    </row>
    <row r="44">
      <c r="A44" t="inlineStr">
        <is>
          <t>10</t>
        </is>
      </c>
      <c r="B44" t="inlineStr">
        <is>
          <t>54.02</t>
        </is>
      </c>
      <c r="C44" t="inlineStr">
        <is>
          <t>CHELTUIELI DE PERSONAL</t>
        </is>
      </c>
      <c r="E44" t="n">
        <v>2</v>
      </c>
      <c r="F44" t="inlineStr">
        <is>
          <t>expense_economic</t>
        </is>
      </c>
      <c r="G44" s="3" t="n">
        <v>3300</v>
      </c>
      <c r="H44" t="inlineStr">
        <is>
          <t>ocr</t>
        </is>
      </c>
    </row>
    <row r="45">
      <c r="A45" t="inlineStr">
        <is>
          <t>20</t>
        </is>
      </c>
      <c r="B45" t="inlineStr">
        <is>
          <t>54.02</t>
        </is>
      </c>
      <c r="C45" t="inlineStr">
        <is>
          <t>CHELTUIELI MATERIALE SI SERVICII</t>
        </is>
      </c>
      <c r="E45" t="n">
        <v>2</v>
      </c>
      <c r="F45" t="inlineStr">
        <is>
          <t>expense_economic</t>
        </is>
      </c>
      <c r="G45" s="3" t="n">
        <v>900</v>
      </c>
      <c r="H45" t="inlineStr">
        <is>
          <t>ocr</t>
        </is>
      </c>
    </row>
    <row r="46">
      <c r="A46" t="inlineStr">
        <is>
          <t>50</t>
        </is>
      </c>
      <c r="B46" t="inlineStr">
        <is>
          <t>54.02</t>
        </is>
      </c>
      <c r="C46" t="inlineStr">
        <is>
          <t>FOND DE REZERVA BUGETARA</t>
        </is>
      </c>
      <c r="E46" t="n">
        <v>2</v>
      </c>
      <c r="F46" t="inlineStr">
        <is>
          <t>expense_economic</t>
        </is>
      </c>
      <c r="G46" s="3" t="n">
        <v>100</v>
      </c>
      <c r="H46" t="inlineStr">
        <is>
          <t>ocr</t>
        </is>
      </c>
    </row>
    <row r="47">
      <c r="A47" t="inlineStr">
        <is>
          <t>59.40</t>
        </is>
      </c>
      <c r="B47" t="inlineStr">
        <is>
          <t>54.02</t>
        </is>
      </c>
      <c r="C47" t="inlineStr">
        <is>
          <t>FOND HANDICAP</t>
        </is>
      </c>
      <c r="E47" t="n">
        <v>2</v>
      </c>
      <c r="F47" t="inlineStr">
        <is>
          <t>expense_economic</t>
        </is>
      </c>
      <c r="G47" s="3" t="n">
        <v>46</v>
      </c>
      <c r="H47" t="inlineStr">
        <is>
          <t>ocr</t>
        </is>
      </c>
    </row>
    <row r="48">
      <c r="A48" s="4" t="inlineStr">
        <is>
          <t>71</t>
        </is>
      </c>
      <c r="B48" s="4" t="inlineStr">
        <is>
          <t>54.02</t>
        </is>
      </c>
      <c r="C48" s="4" t="inlineStr">
        <is>
          <t>CHELTUIELI DE CAPITAL</t>
        </is>
      </c>
      <c r="D48" s="4" t="n"/>
      <c r="E48" s="4" t="n">
        <v>2</v>
      </c>
      <c r="F48" s="4" t="inlineStr">
        <is>
          <t>expense_economic</t>
        </is>
      </c>
      <c r="G48" s="5" t="n">
        <v>1100</v>
      </c>
      <c r="H48" s="4" t="inlineStr">
        <is>
          <t>ocr</t>
        </is>
      </c>
      <c r="I48" s="4" t="inlineStr">
        <is>
          <t>name mismatch vs nomenclator (28%): 'CHELTUIELI DE CAPITAL' vs 'TITLUL XVI ACTIVE NEFINANCIARE (71.01+71'</t>
        </is>
      </c>
    </row>
    <row r="49">
      <c r="A49" t="inlineStr">
        <is>
          <t>85</t>
        </is>
      </c>
      <c r="B49" t="inlineStr">
        <is>
          <t>54.02</t>
        </is>
      </c>
      <c r="C49" t="inlineStr">
        <is>
          <t>PLATI EFECTUATE IN ANI PRECEDENTI SI RECUPERATE IN ANUL CURENT Din total capitol :</t>
        </is>
      </c>
      <c r="E49" t="n">
        <v>2</v>
      </c>
      <c r="F49" t="inlineStr">
        <is>
          <t>expense_economic</t>
        </is>
      </c>
      <c r="G49" s="3" t="n"/>
      <c r="H49" t="inlineStr">
        <is>
          <t>ocr</t>
        </is>
      </c>
    </row>
    <row r="50">
      <c r="A50" t="inlineStr">
        <is>
          <t>54.02.05</t>
        </is>
      </c>
      <c r="C50" t="inlineStr">
        <is>
          <t>FOND REZERVA BUGETARA</t>
        </is>
      </c>
      <c r="E50" t="n">
        <v>2</v>
      </c>
      <c r="F50" t="inlineStr">
        <is>
          <t>expense_functional</t>
        </is>
      </c>
      <c r="G50" s="3" t="n">
        <v>100</v>
      </c>
      <c r="H50" t="inlineStr">
        <is>
          <t>ocr</t>
        </is>
      </c>
    </row>
    <row r="51">
      <c r="A51" t="inlineStr">
        <is>
          <t>54.02.10</t>
        </is>
      </c>
      <c r="C51" t="inlineStr">
        <is>
          <t>SERVICII PUBLICE GENERALE-EVIDENTA POPULATIEI</t>
        </is>
      </c>
      <c r="E51" t="n">
        <v>2</v>
      </c>
      <c r="F51" t="inlineStr">
        <is>
          <t>expense_functional</t>
        </is>
      </c>
      <c r="G51" s="3" t="n">
        <v>4246</v>
      </c>
      <c r="H51" t="inlineStr">
        <is>
          <t>ocr</t>
        </is>
      </c>
    </row>
    <row r="52">
      <c r="A52" t="inlineStr">
        <is>
          <t>54.02.50</t>
        </is>
      </c>
      <c r="C52" t="inlineStr">
        <is>
          <t>ALTE SERVICII PUBLICE GENERALE</t>
        </is>
      </c>
      <c r="E52" t="n">
        <v>2</v>
      </c>
      <c r="F52" t="inlineStr">
        <is>
          <t>expense_functional</t>
        </is>
      </c>
      <c r="G52" s="3" t="n">
        <v>1100</v>
      </c>
      <c r="H52" t="inlineStr">
        <is>
          <t>ocr</t>
        </is>
      </c>
    </row>
    <row r="53">
      <c r="A53" t="inlineStr">
        <is>
          <t>55.02</t>
        </is>
      </c>
      <c r="C53" t="inlineStr">
        <is>
          <t>DATORIA PUBLICA - DOBANZI</t>
        </is>
      </c>
      <c r="E53" t="n">
        <v>2</v>
      </c>
      <c r="F53" t="inlineStr">
        <is>
          <t>expense_functional</t>
        </is>
      </c>
      <c r="G53" s="3" t="n">
        <v>3327</v>
      </c>
      <c r="H53" t="inlineStr">
        <is>
          <t>ocr</t>
        </is>
      </c>
    </row>
    <row r="54">
      <c r="A54" s="4" t="inlineStr">
        <is>
          <t>20</t>
        </is>
      </c>
      <c r="B54" s="4" t="inlineStr">
        <is>
          <t>55.02</t>
        </is>
      </c>
      <c r="C54" s="4" t="inlineStr">
        <is>
          <t>COMISIOANE</t>
        </is>
      </c>
      <c r="D54" s="4" t="n"/>
      <c r="E54" s="4" t="n">
        <v>2</v>
      </c>
      <c r="F54" s="4" t="inlineStr">
        <is>
          <t>expense_economic</t>
        </is>
      </c>
      <c r="G54" s="5" t="n">
        <v>27</v>
      </c>
      <c r="H54" s="4" t="inlineStr">
        <is>
          <t>ocr</t>
        </is>
      </c>
      <c r="I54" s="4" t="inlineStr">
        <is>
          <t>name mismatch vs nomenclator (21%): 'COMISIOANE' vs 'TITLUL II  BUNURI SI SERVICII'</t>
        </is>
      </c>
    </row>
    <row r="55">
      <c r="A55" t="inlineStr">
        <is>
          <t>30</t>
        </is>
      </c>
      <c r="B55" t="inlineStr">
        <is>
          <t>55.02</t>
        </is>
      </c>
      <c r="C55" t="inlineStr">
        <is>
          <t>DOBANZI</t>
        </is>
      </c>
      <c r="E55" t="n">
        <v>2</v>
      </c>
      <c r="F55" t="inlineStr">
        <is>
          <t>expense_economic</t>
        </is>
      </c>
      <c r="G55" s="3" t="n">
        <v>3300</v>
      </c>
      <c r="H55" t="inlineStr">
        <is>
          <t>ocr</t>
        </is>
      </c>
    </row>
    <row r="56">
      <c r="A56" s="6" t="inlineStr">
        <is>
          <t>61.02</t>
        </is>
      </c>
      <c r="B56" s="6" t="n"/>
      <c r="C56" s="6" t="inlineStr">
        <is>
          <t>ORDINE PUBLICA SI SIGURANTA NATIONALA</t>
        </is>
      </c>
      <c r="D56" s="6" t="n"/>
      <c r="E56" s="6" t="n">
        <v>2</v>
      </c>
      <c r="F56" s="6" t="inlineStr">
        <is>
          <t>expense_functional</t>
        </is>
      </c>
      <c r="G56" s="8" t="n">
        <v>11118</v>
      </c>
      <c r="H56" s="6" t="inlineStr">
        <is>
          <t>ocr</t>
        </is>
      </c>
      <c r="I56" s="6" t="inlineStr">
        <is>
          <t>61.02 total_2026: parent 11.118,00 != sum(children) 584,00 (1 children)</t>
        </is>
      </c>
    </row>
    <row r="57">
      <c r="A57" t="inlineStr">
        <is>
          <t>10</t>
        </is>
      </c>
      <c r="B57" t="inlineStr">
        <is>
          <t>61.02</t>
        </is>
      </c>
      <c r="C57" t="inlineStr">
        <is>
          <t>CHELTUIELI DE PERSONAL</t>
        </is>
      </c>
      <c r="E57" t="n">
        <v>2</v>
      </c>
      <c r="F57" t="inlineStr">
        <is>
          <t>expense_economic</t>
        </is>
      </c>
      <c r="G57" s="3" t="n">
        <v>9450</v>
      </c>
      <c r="H57" t="inlineStr">
        <is>
          <t>ocr</t>
        </is>
      </c>
    </row>
    <row r="58">
      <c r="A58" t="inlineStr">
        <is>
          <t>20</t>
        </is>
      </c>
      <c r="B58" t="inlineStr">
        <is>
          <t>61.02</t>
        </is>
      </c>
      <c r="C58" t="inlineStr">
        <is>
          <t>CHELTUIELI MATERIALE SI SERVICII</t>
        </is>
      </c>
      <c r="E58" t="n">
        <v>2</v>
      </c>
      <c r="F58" t="inlineStr">
        <is>
          <t>expense_economic</t>
        </is>
      </c>
      <c r="G58" s="3" t="n">
        <v>1138</v>
      </c>
      <c r="H58" t="inlineStr">
        <is>
          <t>ocr</t>
        </is>
      </c>
    </row>
    <row r="59">
      <c r="A59" s="4" t="inlineStr">
        <is>
          <t>59</t>
        </is>
      </c>
      <c r="B59" s="4" t="inlineStr">
        <is>
          <t>61.02</t>
        </is>
      </c>
      <c r="C59" s="4" t="inlineStr">
        <is>
          <t>FOND HANDICAP</t>
        </is>
      </c>
      <c r="D59" s="4" t="n"/>
      <c r="E59" s="4" t="n">
        <v>2</v>
      </c>
      <c r="F59" s="4" t="inlineStr">
        <is>
          <t>expense_economic</t>
        </is>
      </c>
      <c r="G59" s="5" t="n">
        <v>4</v>
      </c>
      <c r="H59" s="4" t="inlineStr">
        <is>
          <t>ocr</t>
        </is>
      </c>
      <c r="I59" s="4" t="inlineStr">
        <is>
          <t>name mismatch vs nomenclator (16%): 'FOND HANDICAP' vs 'TITLUL XI ALTE CHELTUIELI'</t>
        </is>
      </c>
    </row>
    <row r="60">
      <c r="A60" s="4" t="inlineStr">
        <is>
          <t>71</t>
        </is>
      </c>
      <c r="B60" s="4" t="inlineStr">
        <is>
          <t>61.02</t>
        </is>
      </c>
      <c r="C60" s="4" t="inlineStr">
        <is>
          <t>CHELTUIELI DE CAPITAL</t>
        </is>
      </c>
      <c r="D60" s="4" t="n"/>
      <c r="E60" s="4" t="n">
        <v>2</v>
      </c>
      <c r="F60" s="4" t="inlineStr">
        <is>
          <t>expense_economic</t>
        </is>
      </c>
      <c r="G60" s="5" t="n">
        <v>526</v>
      </c>
      <c r="H60" s="4" t="inlineStr">
        <is>
          <t>ocr</t>
        </is>
      </c>
      <c r="I60" s="4" t="inlineStr">
        <is>
          <t>name mismatch vs nomenclator (28%): 'CHELTUIELI DE CAPITAL' vs 'TITLUL XVI ACTIVE NEFINANCIARE (71.01+71'</t>
        </is>
      </c>
    </row>
    <row r="61">
      <c r="A61" t="inlineStr">
        <is>
          <t>85</t>
        </is>
      </c>
      <c r="B61" t="inlineStr">
        <is>
          <t>61.02</t>
        </is>
      </c>
      <c r="C61" t="inlineStr">
        <is>
          <t>PLATI EFECTUATE IN ANI PRECEDENTI SI RECUPERATE IN ANUL CURENT Din total capitol :</t>
        </is>
      </c>
      <c r="E61" t="n">
        <v>2</v>
      </c>
      <c r="F61" t="inlineStr">
        <is>
          <t>expense_economic</t>
        </is>
      </c>
      <c r="G61" s="3" t="n"/>
      <c r="H61" t="inlineStr">
        <is>
          <t>ocr</t>
        </is>
      </c>
    </row>
    <row r="62">
      <c r="A62" t="inlineStr">
        <is>
          <t>61.02.03.04</t>
        </is>
      </c>
      <c r="C62" t="inlineStr">
        <is>
          <t>POLITIA LOCALÃ</t>
        </is>
      </c>
      <c r="E62" t="n">
        <v>2</v>
      </c>
      <c r="F62" t="inlineStr">
        <is>
          <t>expense_functional</t>
        </is>
      </c>
      <c r="G62" s="3" t="n">
        <v>10534</v>
      </c>
      <c r="H62" t="inlineStr">
        <is>
          <t>ocr</t>
        </is>
      </c>
    </row>
    <row r="63">
      <c r="A63" t="inlineStr">
        <is>
          <t>61.02.05</t>
        </is>
      </c>
      <c r="C63" t="inlineStr">
        <is>
          <t>PROTECTIE CIVILA</t>
        </is>
      </c>
      <c r="E63" t="n">
        <v>2</v>
      </c>
      <c r="F63" t="inlineStr">
        <is>
          <t>expense_functional</t>
        </is>
      </c>
      <c r="G63" s="3" t="n">
        <v>584</v>
      </c>
      <c r="H63" t="inlineStr">
        <is>
          <t>ocr</t>
        </is>
      </c>
    </row>
    <row r="64">
      <c r="A64" t="inlineStr">
        <is>
          <t>65.02</t>
        </is>
      </c>
      <c r="C64" t="inlineStr">
        <is>
          <t>INVATAMANT</t>
        </is>
      </c>
      <c r="E64" t="n">
        <v>2</v>
      </c>
      <c r="F64" t="inlineStr">
        <is>
          <t>expense_functional</t>
        </is>
      </c>
      <c r="G64" s="3" t="n">
        <v>138149</v>
      </c>
      <c r="H64" t="inlineStr">
        <is>
          <t>ocr</t>
        </is>
      </c>
    </row>
    <row r="65">
      <c r="A65" t="inlineStr">
        <is>
          <t>10</t>
        </is>
      </c>
      <c r="B65" t="inlineStr">
        <is>
          <t>65.02</t>
        </is>
      </c>
      <c r="C65" t="inlineStr">
        <is>
          <t>CHELTUIELI DE PERSONAL</t>
        </is>
      </c>
      <c r="E65" t="n">
        <v>2</v>
      </c>
      <c r="F65" t="inlineStr">
        <is>
          <t>expense_economic</t>
        </is>
      </c>
      <c r="G65" s="3" t="n">
        <v>3086</v>
      </c>
      <c r="H65" t="inlineStr">
        <is>
          <t>ocr</t>
        </is>
      </c>
    </row>
    <row r="66">
      <c r="A66" t="inlineStr">
        <is>
          <t>20</t>
        </is>
      </c>
      <c r="B66" t="inlineStr">
        <is>
          <t>65.02</t>
        </is>
      </c>
      <c r="C66" t="inlineStr">
        <is>
          <t>CHELTUIELI MATERIALE SI SERVICII</t>
        </is>
      </c>
      <c r="E66" t="n">
        <v>2</v>
      </c>
      <c r="F66" t="inlineStr">
        <is>
          <t>expense_economic</t>
        </is>
      </c>
      <c r="G66" s="3" t="n">
        <v>19495</v>
      </c>
      <c r="H66" t="inlineStr">
        <is>
          <t>ocr</t>
        </is>
      </c>
    </row>
    <row r="67">
      <c r="A67" t="inlineStr">
        <is>
          <t>55</t>
        </is>
      </c>
      <c r="B67" t="inlineStr">
        <is>
          <t>65.02</t>
        </is>
      </c>
      <c r="C67" t="inlineStr">
        <is>
          <t>TRANSFERURI - finanțarea învățământului particular</t>
        </is>
      </c>
      <c r="E67" t="n">
        <v>2</v>
      </c>
      <c r="F67" t="inlineStr">
        <is>
          <t>expense_economic</t>
        </is>
      </c>
      <c r="G67" s="3" t="n">
        <v>1862</v>
      </c>
      <c r="H67" t="inlineStr">
        <is>
          <t>ocr</t>
        </is>
      </c>
    </row>
    <row r="68">
      <c r="A68" s="4" t="inlineStr">
        <is>
          <t>57</t>
        </is>
      </c>
      <c r="B68" s="4" t="inlineStr">
        <is>
          <t>65.02</t>
        </is>
      </c>
      <c r="C68" s="4" t="inlineStr">
        <is>
          <t>AJUTOARE SOCIALE - finanțarea drepturilor copiilor cu cerințe educaționale speciale, tichete soc, transport</t>
        </is>
      </c>
      <c r="D68" s="4" t="n"/>
      <c r="E68" s="4" t="n">
        <v>2</v>
      </c>
      <c r="F68" s="4" t="inlineStr">
        <is>
          <t>expense_economic</t>
        </is>
      </c>
      <c r="G68" s="5" t="n">
        <v>7542</v>
      </c>
      <c r="H68" s="4" t="inlineStr">
        <is>
          <t>ocr</t>
        </is>
      </c>
      <c r="I68" s="4" t="inlineStr">
        <is>
          <t>name mismatch vs nomenclator (30%): 'AJUTOARE SOCIALE - finanțarea drepturilo' vs 'TITLUL IX  ASISTENTA SOCIALA'</t>
        </is>
      </c>
    </row>
    <row r="69">
      <c r="A69" t="inlineStr">
        <is>
          <t>59.40</t>
        </is>
      </c>
      <c r="B69" t="inlineStr">
        <is>
          <t>65.02</t>
        </is>
      </c>
      <c r="C69" t="inlineStr">
        <is>
          <t>FOND HANDICAP</t>
        </is>
      </c>
      <c r="E69" t="n">
        <v>2</v>
      </c>
      <c r="F69" t="inlineStr">
        <is>
          <t>expense_economic</t>
        </is>
      </c>
      <c r="G69" s="3" t="n">
        <v>188</v>
      </c>
      <c r="H69" t="inlineStr">
        <is>
          <t>ocr</t>
        </is>
      </c>
    </row>
    <row r="70">
      <c r="A70" t="inlineStr">
        <is>
          <t>56</t>
        </is>
      </c>
      <c r="B70" t="inlineStr">
        <is>
          <t>65.02</t>
        </is>
      </c>
      <c r="C70" t="inlineStr">
        <is>
          <t>Proiecte cu finantare din Fonduri externe nerambursabile (FEN) postaderare</t>
        </is>
      </c>
      <c r="E70" t="n">
        <v>2</v>
      </c>
      <c r="F70" t="inlineStr">
        <is>
          <t>expense_economic</t>
        </is>
      </c>
      <c r="G70" s="3" t="n">
        <v>83187</v>
      </c>
      <c r="H70" t="inlineStr">
        <is>
          <t>ocr</t>
        </is>
      </c>
    </row>
    <row r="71">
      <c r="A71" t="inlineStr">
        <is>
          <t>60</t>
        </is>
      </c>
      <c r="B71" t="inlineStr">
        <is>
          <t>65.02</t>
        </is>
      </c>
      <c r="C71" t="inlineStr">
        <is>
          <t>Proiecte cu finanțare din sumele reprezentând asistența financiară nerambursabilă aferentă PNRR</t>
        </is>
      </c>
      <c r="E71" t="n">
        <v>2</v>
      </c>
      <c r="F71" t="inlineStr">
        <is>
          <t>expense_economic</t>
        </is>
      </c>
      <c r="G71" s="3" t="n">
        <v>20038</v>
      </c>
      <c r="H71" t="inlineStr">
        <is>
          <t>ocr</t>
        </is>
      </c>
    </row>
    <row r="72">
      <c r="A72" t="inlineStr">
        <is>
          <t>71.85</t>
        </is>
      </c>
      <c r="C72" s="2" t="inlineStr">
        <is>
          <t>CHELTUIELI DE CAPITAL PLATI EFECTUATE IN ANI PRECEDENTI SI RECUPERATE IN ANUL CURENT Din total capitol :</t>
        </is>
      </c>
      <c r="E72" t="n">
        <v>2</v>
      </c>
      <c r="F72" t="inlineStr"/>
      <c r="G72" s="3" t="n">
        <v>2751</v>
      </c>
      <c r="H72" t="inlineStr">
        <is>
          <t>ocr</t>
        </is>
      </c>
    </row>
    <row r="73">
      <c r="A73" t="inlineStr">
        <is>
          <t>65.02</t>
        </is>
      </c>
      <c r="B73" t="inlineStr">
        <is>
          <t>65.02</t>
        </is>
      </c>
      <c r="C73" t="inlineStr">
        <is>
          <t>TOTAL CHELTUIELI ÎN DOMENIUL ÎNVÄTÄMÂNTULUI</t>
        </is>
      </c>
      <c r="E73" t="n">
        <v>2</v>
      </c>
      <c r="F73" t="inlineStr">
        <is>
          <t>expense_economic</t>
        </is>
      </c>
      <c r="G73" s="3" t="n">
        <v>138149</v>
      </c>
      <c r="H73" t="inlineStr">
        <is>
          <t>ocr</t>
        </is>
      </c>
    </row>
    <row r="74">
      <c r="A74" s="6" t="inlineStr">
        <is>
          <t>66.02</t>
        </is>
      </c>
      <c r="B74" s="6" t="n"/>
      <c r="C74" s="6" t="inlineStr">
        <is>
          <t>SANATATE</t>
        </is>
      </c>
      <c r="D74" s="6" t="n"/>
      <c r="E74" s="6" t="n">
        <v>2</v>
      </c>
      <c r="F74" s="6" t="inlineStr">
        <is>
          <t>expense_functional</t>
        </is>
      </c>
      <c r="G74" s="8" t="n">
        <v>16992</v>
      </c>
      <c r="H74" s="6" t="inlineStr">
        <is>
          <t>ocr</t>
        </is>
      </c>
      <c r="I74" s="6" t="inlineStr">
        <is>
          <t>66.02 total_2026: parent 16.992,00 != sum(children) 6.975,00 (1 children)</t>
        </is>
      </c>
    </row>
    <row r="75">
      <c r="A75" t="inlineStr">
        <is>
          <t>10</t>
        </is>
      </c>
      <c r="B75" t="inlineStr">
        <is>
          <t>66.02</t>
        </is>
      </c>
      <c r="C75" t="inlineStr">
        <is>
          <t>CHELTUIELI DE PERSONAL</t>
        </is>
      </c>
      <c r="E75" t="n">
        <v>2</v>
      </c>
      <c r="F75" t="inlineStr">
        <is>
          <t>expense_economic</t>
        </is>
      </c>
      <c r="G75" s="3" t="n">
        <v>6082</v>
      </c>
      <c r="H75" t="inlineStr">
        <is>
          <t>ocr</t>
        </is>
      </c>
    </row>
    <row r="76">
      <c r="A76" t="inlineStr">
        <is>
          <t>20</t>
        </is>
      </c>
      <c r="B76" t="inlineStr">
        <is>
          <t>66.02</t>
        </is>
      </c>
      <c r="C76" t="inlineStr">
        <is>
          <t>CHELTUIELI MATERIALE SI SERVICII</t>
        </is>
      </c>
      <c r="E76" t="n">
        <v>2</v>
      </c>
      <c r="F76" t="inlineStr">
        <is>
          <t>expense_economic</t>
        </is>
      </c>
      <c r="G76" s="3" t="n">
        <v>785</v>
      </c>
      <c r="H76" t="inlineStr">
        <is>
          <t>ocr</t>
        </is>
      </c>
    </row>
    <row r="77">
      <c r="A77" s="4" t="inlineStr">
        <is>
          <t>57</t>
        </is>
      </c>
      <c r="B77" s="4" t="inlineStr">
        <is>
          <t>66.02</t>
        </is>
      </c>
      <c r="C77" s="4" t="inlineStr">
        <is>
          <t>AJUTOARE SOCIALE IN NATURA</t>
        </is>
      </c>
      <c r="D77" s="4" t="n"/>
      <c r="E77" s="4" t="n">
        <v>2</v>
      </c>
      <c r="F77" s="4" t="inlineStr">
        <is>
          <t>expense_economic</t>
        </is>
      </c>
      <c r="G77" s="5" t="n">
        <v>15</v>
      </c>
      <c r="H77" s="4" t="inlineStr">
        <is>
          <t>ocr</t>
        </is>
      </c>
      <c r="I77" s="4" t="inlineStr">
        <is>
          <t>name mismatch vs nomenclator (49%): 'AJUTOARE SOCIALE IN NATURA' vs 'TITLUL IX  ASISTENTA SOCIALA'</t>
        </is>
      </c>
    </row>
    <row r="78">
      <c r="A78" t="inlineStr">
        <is>
          <t>59.40</t>
        </is>
      </c>
      <c r="B78" t="inlineStr">
        <is>
          <t>66.02</t>
        </is>
      </c>
      <c r="C78" t="inlineStr">
        <is>
          <t>FOND HANDICAP</t>
        </is>
      </c>
      <c r="E78" t="n">
        <v>2</v>
      </c>
      <c r="F78" t="inlineStr">
        <is>
          <t>expense_economic</t>
        </is>
      </c>
      <c r="G78" s="3" t="n">
        <v>108</v>
      </c>
      <c r="H78" t="inlineStr">
        <is>
          <t>ocr</t>
        </is>
      </c>
    </row>
    <row r="79">
      <c r="A79" t="inlineStr">
        <is>
          <t>56</t>
        </is>
      </c>
      <c r="B79" t="inlineStr">
        <is>
          <t>66.02</t>
        </is>
      </c>
      <c r="C79" t="inlineStr">
        <is>
          <t>Proiecte cu finantare din Fonduri externe nerambursabile (FEN) postaderare</t>
        </is>
      </c>
      <c r="E79" t="n">
        <v>2</v>
      </c>
      <c r="F79" t="inlineStr">
        <is>
          <t>expense_economic</t>
        </is>
      </c>
      <c r="G79" s="3" t="n">
        <v>10002</v>
      </c>
      <c r="H79" t="inlineStr">
        <is>
          <t>ocr</t>
        </is>
      </c>
    </row>
    <row r="80">
      <c r="A80" s="6" t="inlineStr">
        <is>
          <t>71.85</t>
        </is>
      </c>
      <c r="B80" s="6" t="n"/>
      <c r="C80" s="6" t="inlineStr">
        <is>
          <t>CHELTUIELI DE CAPITAL</t>
        </is>
      </c>
      <c r="D80" s="6" t="n"/>
      <c r="E80" s="6" t="n">
        <v>2</v>
      </c>
      <c r="F80" s="6" t="inlineStr">
        <is>
          <t>expense_functional</t>
        </is>
      </c>
      <c r="G80" s="8" t="n"/>
      <c r="H80" s="6" t="inlineStr">
        <is>
          <t>ocr</t>
        </is>
      </c>
      <c r="I80" s="6" t="inlineStr">
        <is>
          <t>code 71.85 (expense_functional) not in nomenclator</t>
        </is>
      </c>
    </row>
    <row r="81">
      <c r="A81" t="inlineStr">
        <is>
          <t>66.02.06.01</t>
        </is>
      </c>
      <c r="C81" t="inlineStr">
        <is>
          <t>PLATI EFECTUATE IN ANI PRECEDENTI SI RECUPERATE IN ANUL CURENT Din total capitol : Spitale generale</t>
        </is>
      </c>
      <c r="E81" t="n">
        <v>2</v>
      </c>
      <c r="F81" t="inlineStr">
        <is>
          <t>expense_functional</t>
        </is>
      </c>
      <c r="G81" s="3" t="n">
        <v>10002</v>
      </c>
      <c r="H81" t="inlineStr">
        <is>
          <t>ocr</t>
        </is>
      </c>
    </row>
    <row r="82">
      <c r="A82" t="inlineStr">
        <is>
          <t>66.02.08</t>
        </is>
      </c>
      <c r="C82" t="inlineStr">
        <is>
          <t>Servicii de sanatate publică (cabinete medicale școlare)</t>
        </is>
      </c>
      <c r="E82" t="n">
        <v>3</v>
      </c>
      <c r="F82" t="inlineStr">
        <is>
          <t>expense_functional</t>
        </is>
      </c>
      <c r="G82" s="3" t="n">
        <v>6975</v>
      </c>
      <c r="H82" t="inlineStr">
        <is>
          <t>ocr</t>
        </is>
      </c>
    </row>
    <row r="83">
      <c r="A83" t="inlineStr">
        <is>
          <t>66.02.50.50</t>
        </is>
      </c>
      <c r="C83" t="inlineStr">
        <is>
          <t>Alte institutii si actiuni sanitare (centre de permanență, drepturi donatori sânge)</t>
        </is>
      </c>
      <c r="E83" t="n">
        <v>3</v>
      </c>
      <c r="F83" t="inlineStr">
        <is>
          <t>expense_functional</t>
        </is>
      </c>
      <c r="G83" s="3" t="n">
        <v>15</v>
      </c>
      <c r="H83" t="inlineStr">
        <is>
          <t>ocr</t>
        </is>
      </c>
    </row>
    <row r="84">
      <c r="A84" s="6" t="inlineStr">
        <is>
          <t>67.02</t>
        </is>
      </c>
      <c r="B84" s="6" t="n"/>
      <c r="C84" s="6" t="inlineStr">
        <is>
          <t>CULTURA, RELIGIE SI RECREERE</t>
        </is>
      </c>
      <c r="D84" s="6" t="n"/>
      <c r="E84" s="6" t="n">
        <v>3</v>
      </c>
      <c r="F84" s="6" t="inlineStr">
        <is>
          <t>expense_functional</t>
        </is>
      </c>
      <c r="G84" s="8" t="n">
        <v>38905.1</v>
      </c>
      <c r="H84" s="6" t="inlineStr">
        <is>
          <t>ocr</t>
        </is>
      </c>
      <c r="I84" s="6" t="inlineStr">
        <is>
          <t>67.02 total_2026: parent 38.905,10 != sum(children) 6.250,00 (2 children)</t>
        </is>
      </c>
    </row>
    <row r="85">
      <c r="A85" t="inlineStr">
        <is>
          <t>20</t>
        </is>
      </c>
      <c r="B85" t="inlineStr">
        <is>
          <t>67.02</t>
        </is>
      </c>
      <c r="C85" t="inlineStr">
        <is>
          <t>CHELTUIELI MATERIALE SI SERVICII</t>
        </is>
      </c>
      <c r="E85" t="n">
        <v>3</v>
      </c>
      <c r="F85" t="inlineStr">
        <is>
          <t>expense_economic</t>
        </is>
      </c>
      <c r="G85" s="3" t="n">
        <v>12000</v>
      </c>
      <c r="H85" t="inlineStr">
        <is>
          <t>ocr</t>
        </is>
      </c>
    </row>
    <row r="86">
      <c r="A86" s="4" t="inlineStr">
        <is>
          <t>57</t>
        </is>
      </c>
      <c r="B86" s="4" t="inlineStr">
        <is>
          <t>67.02</t>
        </is>
      </c>
      <c r="C86" s="4" t="inlineStr">
        <is>
          <t>AJUTOARE SOCIALE</t>
        </is>
      </c>
      <c r="D86" s="4" t="n"/>
      <c r="E86" s="4" t="n">
        <v>3</v>
      </c>
      <c r="F86" s="4" t="inlineStr">
        <is>
          <t>expense_economic</t>
        </is>
      </c>
      <c r="G86" s="5" t="n">
        <v>250</v>
      </c>
      <c r="H86" s="4" t="inlineStr">
        <is>
          <t>ocr</t>
        </is>
      </c>
      <c r="I86" s="4" t="inlineStr">
        <is>
          <t>name mismatch vs nomenclator (47%): 'AJUTOARE SOCIALE' vs 'TITLUL IX  ASISTENTA SOCIALA'</t>
        </is>
      </c>
    </row>
    <row r="87">
      <c r="A87" t="inlineStr">
        <is>
          <t>56</t>
        </is>
      </c>
      <c r="B87" t="inlineStr">
        <is>
          <t>67.02</t>
        </is>
      </c>
      <c r="C87" t="inlineStr">
        <is>
          <t>Proiecte cu finantare din Fonduri externe nerambursabile (FEN) postaderare</t>
        </is>
      </c>
      <c r="E87" t="n">
        <v>3</v>
      </c>
      <c r="F87" t="inlineStr">
        <is>
          <t>expense_economic</t>
        </is>
      </c>
      <c r="G87" s="3" t="n">
        <v>8088</v>
      </c>
      <c r="H87" t="inlineStr">
        <is>
          <t>ocr</t>
        </is>
      </c>
    </row>
    <row r="88">
      <c r="A88" s="4" t="inlineStr">
        <is>
          <t>58</t>
        </is>
      </c>
      <c r="B88" s="4" t="inlineStr">
        <is>
          <t>67.02</t>
        </is>
      </c>
      <c r="C88" s="4" t="inlineStr">
        <is>
          <t>PROGRAME CU FINANTARE NERAMBURSABILA</t>
        </is>
      </c>
      <c r="D88" s="4" t="n"/>
      <c r="E88" s="4" t="n">
        <v>3</v>
      </c>
      <c r="F88" s="4" t="inlineStr">
        <is>
          <t>expense_economic</t>
        </is>
      </c>
      <c r="G88" s="5" t="n">
        <v>3608</v>
      </c>
      <c r="H88" s="4" t="inlineStr">
        <is>
          <t>ocr</t>
        </is>
      </c>
      <c r="I88" s="4" t="inlineStr">
        <is>
          <t>name mismatch vs nomenclator (50%): 'PROGRAME CU FINANTARE NERAMBURSABILA' vs 'TITLUL X PROIECTE CU FINANTARE DIN FONDU'</t>
        </is>
      </c>
    </row>
    <row r="89">
      <c r="A89" s="4" t="inlineStr">
        <is>
          <t>59</t>
        </is>
      </c>
      <c r="B89" s="4" t="inlineStr">
        <is>
          <t>67.02</t>
        </is>
      </c>
      <c r="C89" s="4" t="inlineStr">
        <is>
          <t>SPORT+ALTE ACTIUNI SOCIAL-CULTURALE</t>
        </is>
      </c>
      <c r="D89" s="4" t="n"/>
      <c r="E89" s="4" t="n">
        <v>3</v>
      </c>
      <c r="F89" s="4" t="inlineStr">
        <is>
          <t>expense_economic</t>
        </is>
      </c>
      <c r="G89" s="5" t="n">
        <v>9000</v>
      </c>
      <c r="H89" s="4" t="inlineStr">
        <is>
          <t>ocr</t>
        </is>
      </c>
      <c r="I89" s="4" t="inlineStr">
        <is>
          <t>name mismatch vs nomenclator (37%): 'SPORT+ALTE ACTIUNI SOCIAL-CULTURALE' vs 'TITLUL XI ALTE CHELTUIELI'</t>
        </is>
      </c>
    </row>
    <row r="90">
      <c r="A90" s="4" t="inlineStr">
        <is>
          <t>71</t>
        </is>
      </c>
      <c r="B90" s="4" t="inlineStr">
        <is>
          <t>67.02</t>
        </is>
      </c>
      <c r="C90" s="4" t="inlineStr">
        <is>
          <t>CHELTUIELI DE CAPITAL</t>
        </is>
      </c>
      <c r="D90" s="4" t="n"/>
      <c r="E90" s="4" t="n">
        <v>3</v>
      </c>
      <c r="F90" s="4" t="inlineStr">
        <is>
          <t>expense_economic</t>
        </is>
      </c>
      <c r="G90" s="5" t="n">
        <v>5959.1</v>
      </c>
      <c r="H90" s="4" t="inlineStr">
        <is>
          <t>ocr</t>
        </is>
      </c>
      <c r="I90" s="4" t="inlineStr">
        <is>
          <t>name mismatch vs nomenclator (28%): 'CHELTUIELI DE CAPITAL' vs 'TITLUL XVI ACTIVE NEFINANCIARE (71.01+71'</t>
        </is>
      </c>
    </row>
    <row r="91">
      <c r="A91" t="inlineStr">
        <is>
          <t>85</t>
        </is>
      </c>
      <c r="B91" t="inlineStr">
        <is>
          <t>67.02</t>
        </is>
      </c>
      <c r="C91" t="inlineStr">
        <is>
          <t>PLATI EFECTUATE IN ANI PRECEDENTI SI RECUPERATE IN ANUL CURENT Din total capitol :</t>
        </is>
      </c>
      <c r="E91" t="n">
        <v>3</v>
      </c>
      <c r="F91" t="inlineStr">
        <is>
          <t>expense_economic</t>
        </is>
      </c>
      <c r="G91" s="3" t="n"/>
      <c r="H91" t="inlineStr">
        <is>
          <t>ocr</t>
        </is>
      </c>
    </row>
    <row r="92">
      <c r="A92" s="4" t="inlineStr">
        <is>
          <t>67.02.05.01</t>
        </is>
      </c>
      <c r="B92" s="4" t="n"/>
      <c r="C92" s="4" t="inlineStr">
        <is>
          <t>Servicii recreative si sportive</t>
        </is>
      </c>
      <c r="D92" s="4" t="n"/>
      <c r="E92" s="4" t="n">
        <v>3</v>
      </c>
      <c r="F92" s="4" t="inlineStr">
        <is>
          <t>expense_functional</t>
        </is>
      </c>
      <c r="G92" s="5" t="n">
        <v>3000</v>
      </c>
      <c r="H92" s="4" t="inlineStr">
        <is>
          <t>ocr</t>
        </is>
      </c>
      <c r="I92" s="4" t="inlineStr">
        <is>
          <t>name mismatch vs nomenclator (28%): 'Servicii recreative si sportive' vs 'Sport'</t>
        </is>
      </c>
    </row>
    <row r="93">
      <c r="A93" t="inlineStr">
        <is>
          <t>67.02.05.03</t>
        </is>
      </c>
      <c r="C93" t="inlineStr">
        <is>
          <t>Intretinere, gradini publice, pacuri, zone verzi si de agrement</t>
        </is>
      </c>
      <c r="E93" t="n">
        <v>3</v>
      </c>
      <c r="F93" t="inlineStr">
        <is>
          <t>expense_functional</t>
        </is>
      </c>
      <c r="G93" s="3" t="n">
        <v>29655.1</v>
      </c>
      <c r="H93" t="inlineStr">
        <is>
          <t>ocr</t>
        </is>
      </c>
    </row>
    <row r="94">
      <c r="A94" t="inlineStr">
        <is>
          <t>67.02.06</t>
        </is>
      </c>
      <c r="C94" t="inlineStr">
        <is>
          <t>Servicii religioase</t>
        </is>
      </c>
      <c r="E94" t="n">
        <v>3</v>
      </c>
      <c r="F94" t="inlineStr">
        <is>
          <t>expense_functional</t>
        </is>
      </c>
      <c r="G94" s="3" t="n">
        <v>500</v>
      </c>
      <c r="H94" t="inlineStr">
        <is>
          <t>ocr</t>
        </is>
      </c>
    </row>
    <row r="95">
      <c r="A95" t="inlineStr">
        <is>
          <t>67.02.50</t>
        </is>
      </c>
      <c r="C95" t="inlineStr">
        <is>
          <t>Alte servicii in domeniile culturii, recreere si religiei</t>
        </is>
      </c>
      <c r="E95" t="n">
        <v>3</v>
      </c>
      <c r="F95" t="inlineStr">
        <is>
          <t>expense_functional</t>
        </is>
      </c>
      <c r="G95" s="3" t="n">
        <v>5750</v>
      </c>
      <c r="H95" t="inlineStr">
        <is>
          <t>ocr</t>
        </is>
      </c>
    </row>
    <row r="96">
      <c r="A96" s="6" t="inlineStr">
        <is>
          <t>68.02</t>
        </is>
      </c>
      <c r="B96" s="6" t="n"/>
      <c r="C96" s="6" t="inlineStr">
        <is>
          <t>ASIGURARI SI ASISTENTA SOCIALA</t>
        </is>
      </c>
      <c r="D96" s="6" t="n"/>
      <c r="E96" s="6" t="n">
        <v>3</v>
      </c>
      <c r="F96" s="6" t="inlineStr">
        <is>
          <t>expense_functional</t>
        </is>
      </c>
      <c r="G96" s="8" t="n">
        <v>77978.5</v>
      </c>
      <c r="H96" s="6" t="inlineStr">
        <is>
          <t>ocr</t>
        </is>
      </c>
      <c r="I96" s="6" t="inlineStr">
        <is>
          <t>68.02 total_2026: parent 77.978,50 != sum(children) 35.594,00 (3 children)</t>
        </is>
      </c>
    </row>
    <row r="97">
      <c r="A97" t="inlineStr">
        <is>
          <t>10</t>
        </is>
      </c>
      <c r="B97" t="inlineStr">
        <is>
          <t>68.02</t>
        </is>
      </c>
      <c r="C97" t="inlineStr">
        <is>
          <t>CHELTUIELI DE PERSONAL</t>
        </is>
      </c>
      <c r="E97" t="n">
        <v>3</v>
      </c>
      <c r="F97" t="inlineStr">
        <is>
          <t>expense_economic</t>
        </is>
      </c>
      <c r="G97" s="3" t="n">
        <v>26817</v>
      </c>
      <c r="H97" t="inlineStr">
        <is>
          <t>ocr</t>
        </is>
      </c>
    </row>
    <row r="98">
      <c r="A98" t="inlineStr">
        <is>
          <t>20</t>
        </is>
      </c>
      <c r="B98" t="inlineStr">
        <is>
          <t>68.02</t>
        </is>
      </c>
      <c r="C98" t="inlineStr">
        <is>
          <t>CHELTUIELI MATERIALE SI SERVICII</t>
        </is>
      </c>
      <c r="E98" t="n">
        <v>3</v>
      </c>
      <c r="F98" t="inlineStr">
        <is>
          <t>expense_economic</t>
        </is>
      </c>
      <c r="G98" s="3" t="n">
        <v>8954.5</v>
      </c>
      <c r="H98" t="inlineStr">
        <is>
          <t>ocr</t>
        </is>
      </c>
    </row>
    <row r="99">
      <c r="A99" t="inlineStr">
        <is>
          <t>51</t>
        </is>
      </c>
      <c r="B99" t="inlineStr">
        <is>
          <t>68.02</t>
        </is>
      </c>
      <c r="C99" t="inlineStr">
        <is>
          <t>TRANSFERURI</t>
        </is>
      </c>
      <c r="E99" t="n">
        <v>3</v>
      </c>
      <c r="F99" t="inlineStr">
        <is>
          <t>expense_economic</t>
        </is>
      </c>
      <c r="G99" s="3" t="n"/>
      <c r="H99" t="inlineStr">
        <is>
          <t>ocr</t>
        </is>
      </c>
    </row>
    <row r="100">
      <c r="A100" s="4" t="inlineStr">
        <is>
          <t>58</t>
        </is>
      </c>
      <c r="B100" s="4" t="inlineStr">
        <is>
          <t>68.02</t>
        </is>
      </c>
      <c r="C100" s="4" t="inlineStr">
        <is>
          <t>PROGRAME CU FINANTARE NERAMBURSABILA</t>
        </is>
      </c>
      <c r="D100" s="4" t="n"/>
      <c r="E100" s="4" t="n">
        <v>3</v>
      </c>
      <c r="F100" s="4" t="inlineStr">
        <is>
          <t>expense_economic</t>
        </is>
      </c>
      <c r="G100" s="5" t="n"/>
      <c r="H100" s="4" t="inlineStr">
        <is>
          <t>ocr</t>
        </is>
      </c>
      <c r="I100" s="4" t="inlineStr">
        <is>
          <t>name mismatch vs nomenclator (50%): 'PROGRAME CU FINANTARE NERAMBURSABILA' vs 'TITLUL X PROIECTE CU FINANTARE DIN FONDU'</t>
        </is>
      </c>
    </row>
    <row r="101">
      <c r="A101" s="4" t="inlineStr">
        <is>
          <t>57</t>
        </is>
      </c>
      <c r="B101" s="4" t="inlineStr">
        <is>
          <t>68.02</t>
        </is>
      </c>
      <c r="C101" s="4" t="inlineStr">
        <is>
          <t>ASISTENTA SOCIALA: AJUTOARE SOCIALE + INDEMNIZATII PERSOANE CU HANDICAP</t>
        </is>
      </c>
      <c r="D101" s="4" t="n"/>
      <c r="E101" s="4" t="n">
        <v>3</v>
      </c>
      <c r="F101" s="4" t="inlineStr">
        <is>
          <t>expense_economic</t>
        </is>
      </c>
      <c r="G101" s="5" t="n">
        <v>35792</v>
      </c>
      <c r="H101" s="4" t="inlineStr">
        <is>
          <t>ocr</t>
        </is>
      </c>
      <c r="I101" s="4" t="inlineStr">
        <is>
          <t>name mismatch vs nomenclator (50%): 'ASISTENTA SOCIALA: AJUTOARE SOCIALE + IN' vs 'TITLUL IX  ASISTENTA SOCIALA'</t>
        </is>
      </c>
    </row>
    <row r="102">
      <c r="A102" t="inlineStr">
        <is>
          <t>59.40</t>
        </is>
      </c>
      <c r="B102" t="inlineStr">
        <is>
          <t>68.02</t>
        </is>
      </c>
      <c r="C102" t="inlineStr">
        <is>
          <t>FOND HANDICAP</t>
        </is>
      </c>
      <c r="E102" t="n">
        <v>3</v>
      </c>
      <c r="F102" t="inlineStr">
        <is>
          <t>expense_economic</t>
        </is>
      </c>
      <c r="G102" s="3" t="n">
        <v>335</v>
      </c>
      <c r="H102" t="inlineStr">
        <is>
          <t>ocr</t>
        </is>
      </c>
    </row>
    <row r="103">
      <c r="A103" t="inlineStr">
        <is>
          <t>56</t>
        </is>
      </c>
      <c r="B103" t="inlineStr">
        <is>
          <t>68.02</t>
        </is>
      </c>
      <c r="C103" t="inlineStr">
        <is>
          <t>Proiecte cu finantare din Fonduri exteme nerambursabile (FEN) postaderare</t>
        </is>
      </c>
      <c r="E103" t="n">
        <v>3</v>
      </c>
      <c r="F103" t="inlineStr">
        <is>
          <t>expense_economic</t>
        </is>
      </c>
      <c r="G103" s="3" t="n">
        <v>3676</v>
      </c>
      <c r="H103" t="inlineStr">
        <is>
          <t>ocr</t>
        </is>
      </c>
    </row>
    <row r="104">
      <c r="A104" t="inlineStr">
        <is>
          <t>60</t>
        </is>
      </c>
      <c r="B104" t="inlineStr">
        <is>
          <t>68.02</t>
        </is>
      </c>
      <c r="C104" t="inlineStr">
        <is>
          <t>Proiecte cu finanțare din sumele reprezentând asistența financiară nerambursabilă aferentă PNRR</t>
        </is>
      </c>
      <c r="E104" t="n">
        <v>3</v>
      </c>
      <c r="F104" t="inlineStr">
        <is>
          <t>expense_economic</t>
        </is>
      </c>
      <c r="G104" s="3" t="n">
        <v>2123</v>
      </c>
      <c r="H104" t="inlineStr">
        <is>
          <t>ocr</t>
        </is>
      </c>
    </row>
    <row r="105">
      <c r="A105" s="4" t="inlineStr">
        <is>
          <t>71</t>
        </is>
      </c>
      <c r="B105" s="4" t="inlineStr">
        <is>
          <t>68.02</t>
        </is>
      </c>
      <c r="C105" s="4" t="inlineStr">
        <is>
          <t>CHELTUIELI DE CAPITAL</t>
        </is>
      </c>
      <c r="D105" s="4" t="n"/>
      <c r="E105" s="4" t="n">
        <v>3</v>
      </c>
      <c r="F105" s="4" t="inlineStr">
        <is>
          <t>expense_economic</t>
        </is>
      </c>
      <c r="G105" s="5" t="n">
        <v>281</v>
      </c>
      <c r="H105" s="4" t="inlineStr">
        <is>
          <t>ocr</t>
        </is>
      </c>
      <c r="I105" s="4" t="inlineStr">
        <is>
          <t>name mismatch vs nomenclator (28%): 'CHELTUIELI DE CAPITAL' vs 'TITLUL XVI ACTIVE NEFINANCIARE (71.01+71'</t>
        </is>
      </c>
    </row>
    <row r="106">
      <c r="A106" t="inlineStr">
        <is>
          <t>85</t>
        </is>
      </c>
      <c r="B106" t="inlineStr">
        <is>
          <t>68.02</t>
        </is>
      </c>
      <c r="C106" t="inlineStr">
        <is>
          <t>PLATI EFECTUATE IN ANI PRECEDENTI SI RECUPERATE IN ANUL CURENT Din total capitol :</t>
        </is>
      </c>
      <c r="E106" t="n">
        <v>3</v>
      </c>
      <c r="F106" t="inlineStr">
        <is>
          <t>expense_economic</t>
        </is>
      </c>
      <c r="G106" s="3" t="n"/>
      <c r="H106" t="inlineStr">
        <is>
          <t>ocr</t>
        </is>
      </c>
    </row>
    <row r="107">
      <c r="A107" t="inlineStr">
        <is>
          <t>68.02.04</t>
        </is>
      </c>
      <c r="C107" t="inlineStr">
        <is>
          <t>Asistenta acordata persoanelor in varsta</t>
        </is>
      </c>
      <c r="E107" t="n">
        <v>3</v>
      </c>
      <c r="F107" t="inlineStr">
        <is>
          <t>expense_functional</t>
        </is>
      </c>
      <c r="G107" s="3" t="n">
        <v>6444</v>
      </c>
      <c r="H107" t="inlineStr">
        <is>
          <t>ocr</t>
        </is>
      </c>
    </row>
    <row r="108">
      <c r="A108" t="inlineStr">
        <is>
          <t>68.02.05.02</t>
        </is>
      </c>
      <c r="C108" t="inlineStr">
        <is>
          <t>Asistenta sociala in caz de boli si invaliditati</t>
        </is>
      </c>
      <c r="E108" t="n">
        <v>3</v>
      </c>
      <c r="F108" t="inlineStr">
        <is>
          <t>expense_functional</t>
        </is>
      </c>
      <c r="G108" s="3" t="n">
        <v>41040</v>
      </c>
      <c r="H108" t="inlineStr">
        <is>
          <t>ocr</t>
        </is>
      </c>
    </row>
    <row r="109">
      <c r="A109" t="inlineStr">
        <is>
          <t>68.02.06</t>
        </is>
      </c>
      <c r="C109" t="inlineStr">
        <is>
          <t>Asistenta pt familie si copii</t>
        </is>
      </c>
      <c r="E109" t="n">
        <v>3</v>
      </c>
      <c r="F109" t="inlineStr">
        <is>
          <t>expense_functional</t>
        </is>
      </c>
      <c r="G109" s="3" t="n">
        <v>10559</v>
      </c>
      <c r="H109" t="inlineStr">
        <is>
          <t>ocr</t>
        </is>
      </c>
    </row>
    <row r="110">
      <c r="A110" t="inlineStr">
        <is>
          <t>68.02.15.01</t>
        </is>
      </c>
      <c r="C110" t="inlineStr">
        <is>
          <t>Ajutor social</t>
        </is>
      </c>
      <c r="E110" t="n">
        <v>3</v>
      </c>
      <c r="F110" t="inlineStr">
        <is>
          <t>expense_functional</t>
        </is>
      </c>
      <c r="G110" s="3" t="n">
        <v>440</v>
      </c>
      <c r="H110" t="inlineStr">
        <is>
          <t>ocr</t>
        </is>
      </c>
    </row>
    <row r="111">
      <c r="A111" t="inlineStr">
        <is>
          <t>68.02.15.02</t>
        </is>
      </c>
      <c r="C111" t="inlineStr">
        <is>
          <t>Cantina sociala</t>
        </is>
      </c>
      <c r="E111" t="n">
        <v>3</v>
      </c>
      <c r="F111" t="inlineStr">
        <is>
          <t>expense_functional</t>
        </is>
      </c>
      <c r="G111" s="3" t="n">
        <v>904.5</v>
      </c>
      <c r="H111" t="inlineStr">
        <is>
          <t>ocr</t>
        </is>
      </c>
    </row>
    <row r="112">
      <c r="A112" t="inlineStr">
        <is>
          <t>68.02.50</t>
        </is>
      </c>
      <c r="C112" t="inlineStr">
        <is>
          <t>Alte cheltuieli in domeniul asigurarilor si asistentei sociale</t>
        </is>
      </c>
      <c r="E112" t="n">
        <v>3</v>
      </c>
      <c r="F112" t="inlineStr">
        <is>
          <t>expense_functional</t>
        </is>
      </c>
      <c r="G112" s="3" t="n">
        <v>18591</v>
      </c>
      <c r="H112" t="inlineStr">
        <is>
          <t>ocr</t>
        </is>
      </c>
    </row>
    <row r="113">
      <c r="A113" s="6" t="inlineStr">
        <is>
          <t>70.02</t>
        </is>
      </c>
      <c r="B113" s="6" t="n"/>
      <c r="C113" s="6" t="inlineStr">
        <is>
          <t>LOCUINTE,SERVICII SI DEZVOLTARE PUBLICA</t>
        </is>
      </c>
      <c r="D113" s="6" t="n"/>
      <c r="E113" s="6" t="n">
        <v>3</v>
      </c>
      <c r="F113" s="6" t="inlineStr">
        <is>
          <t>expense_functional</t>
        </is>
      </c>
      <c r="G113" s="8" t="n">
        <v>90318.5</v>
      </c>
      <c r="H113" s="6" t="inlineStr">
        <is>
          <t>ocr</t>
        </is>
      </c>
      <c r="I113" s="6" t="inlineStr">
        <is>
          <t>70.02 total_2026: parent 90.318,50 != sum(children) 90.272,50 (3 children)</t>
        </is>
      </c>
    </row>
    <row r="114">
      <c r="A114" t="inlineStr">
        <is>
          <t>10</t>
        </is>
      </c>
      <c r="B114" t="inlineStr">
        <is>
          <t>70.02</t>
        </is>
      </c>
      <c r="C114" t="inlineStr">
        <is>
          <t>CHELTUIELI DE PERSONAL</t>
        </is>
      </c>
      <c r="E114" t="n">
        <v>3</v>
      </c>
      <c r="F114" t="inlineStr">
        <is>
          <t>expense_economic</t>
        </is>
      </c>
      <c r="G114" s="3" t="n">
        <v>650</v>
      </c>
      <c r="H114" t="inlineStr">
        <is>
          <t>ocr</t>
        </is>
      </c>
    </row>
    <row r="115">
      <c r="A115" t="inlineStr">
        <is>
          <t>20</t>
        </is>
      </c>
      <c r="B115" t="inlineStr">
        <is>
          <t>70.02</t>
        </is>
      </c>
      <c r="C115" t="inlineStr">
        <is>
          <t>CHELTUIELI MATERIALE I SERVICII</t>
        </is>
      </c>
      <c r="E115" t="n">
        <v>3</v>
      </c>
      <c r="F115" t="inlineStr">
        <is>
          <t>expense_economic</t>
        </is>
      </c>
      <c r="G115" s="3" t="n">
        <v>21672.5</v>
      </c>
      <c r="H115" t="inlineStr">
        <is>
          <t>ocr</t>
        </is>
      </c>
    </row>
    <row r="116">
      <c r="A116" t="inlineStr">
        <is>
          <t>59.40</t>
        </is>
      </c>
      <c r="B116" t="inlineStr">
        <is>
          <t>70.02</t>
        </is>
      </c>
      <c r="C116" t="inlineStr">
        <is>
          <t>FOND HANDICAP</t>
        </is>
      </c>
      <c r="E116" t="n">
        <v>3</v>
      </c>
      <c r="F116" t="inlineStr">
        <is>
          <t>expense_economic</t>
        </is>
      </c>
      <c r="G116" s="3" t="n">
        <v>36</v>
      </c>
      <c r="H116" t="inlineStr">
        <is>
          <t>ocr</t>
        </is>
      </c>
    </row>
    <row r="117">
      <c r="A117" t="inlineStr">
        <is>
          <t>55</t>
        </is>
      </c>
      <c r="B117" t="inlineStr">
        <is>
          <t>70.02</t>
        </is>
      </c>
      <c r="C117" t="inlineStr">
        <is>
          <t>ALTE TRANSFERURI</t>
        </is>
      </c>
      <c r="E117" t="n">
        <v>3</v>
      </c>
      <c r="F117" t="inlineStr">
        <is>
          <t>expense_economic</t>
        </is>
      </c>
      <c r="G117" s="3" t="n">
        <v>46</v>
      </c>
      <c r="H117" t="inlineStr">
        <is>
          <t>ocr</t>
        </is>
      </c>
    </row>
    <row r="118">
      <c r="A118" s="6" t="inlineStr">
        <is>
          <t>60.61</t>
        </is>
      </c>
      <c r="B118" s="6" t="n"/>
      <c r="C118" s="6" t="inlineStr">
        <is>
          <t>Proiecte cu finanțare din sumele reprezentând asistența financiară nerambursabilă aferentà PNRR Proiecte cu finanțare din sumele aferente componentei de împrumuturi a PNRR</t>
        </is>
      </c>
      <c r="D118" s="6" t="n"/>
      <c r="E118" s="6" t="n">
        <v>3</v>
      </c>
      <c r="F118" s="6" t="inlineStr">
        <is>
          <t>expense_functional</t>
        </is>
      </c>
      <c r="G118" s="8" t="n">
        <v>24613006920</v>
      </c>
      <c r="H118" s="6" t="inlineStr">
        <is>
          <t>ocr</t>
        </is>
      </c>
      <c r="I118" s="6" t="inlineStr">
        <is>
          <t>code 60.61 (expense_functional) not in nomenclator</t>
        </is>
      </c>
    </row>
    <row r="119">
      <c r="A119" s="4" t="inlineStr">
        <is>
          <t>71</t>
        </is>
      </c>
      <c r="B119" s="4" t="inlineStr">
        <is>
          <t>60.61</t>
        </is>
      </c>
      <c r="C119" s="4" t="inlineStr">
        <is>
          <t>CHELTUIELI DE CAPITAL</t>
        </is>
      </c>
      <c r="D119" s="4" t="n"/>
      <c r="E119" s="4" t="n">
        <v>3</v>
      </c>
      <c r="F119" s="4" t="inlineStr">
        <is>
          <t>expense_economic</t>
        </is>
      </c>
      <c r="G119" s="5" t="n">
        <v>36381</v>
      </c>
      <c r="H119" s="4" t="inlineStr">
        <is>
          <t>ocr</t>
        </is>
      </c>
      <c r="I119" s="4" t="inlineStr">
        <is>
          <t>name mismatch vs nomenclator (28%): 'CHELTUIELI DE CAPITAL' vs 'TITLUL XVI ACTIVE NEFINANCIARE (71.01+71'</t>
        </is>
      </c>
    </row>
    <row r="120">
      <c r="A120" t="inlineStr">
        <is>
          <t>85</t>
        </is>
      </c>
      <c r="B120" t="inlineStr">
        <is>
          <t>60.61</t>
        </is>
      </c>
      <c r="C120" t="inlineStr">
        <is>
          <t>PLATI EFECTUATE IN ANI PRECEDENTI SI RECUPERATE IN ANUL CURENT Din total capitol :</t>
        </is>
      </c>
      <c r="E120" t="n">
        <v>3</v>
      </c>
      <c r="F120" t="inlineStr">
        <is>
          <t>expense_economic</t>
        </is>
      </c>
      <c r="G120" s="3" t="n"/>
      <c r="H120" t="inlineStr">
        <is>
          <t>ocr</t>
        </is>
      </c>
    </row>
    <row r="121">
      <c r="A121" t="inlineStr">
        <is>
          <t>70.02.03</t>
        </is>
      </c>
      <c r="C121" t="inlineStr">
        <is>
          <t>Locuinte</t>
        </is>
      </c>
      <c r="E121" t="n">
        <v>3</v>
      </c>
      <c r="F121" t="inlineStr">
        <is>
          <t>expense_functional</t>
        </is>
      </c>
      <c r="G121" s="3" t="n">
        <v>33570.5</v>
      </c>
      <c r="H121" t="inlineStr">
        <is>
          <t>ocr</t>
        </is>
      </c>
    </row>
    <row r="122">
      <c r="A122" t="inlineStr">
        <is>
          <t>70.02.05.01</t>
        </is>
      </c>
      <c r="C122" t="inlineStr">
        <is>
          <t>Alimentare cu apa</t>
        </is>
      </c>
      <c r="E122" t="n">
        <v>3</v>
      </c>
      <c r="F122" t="inlineStr">
        <is>
          <t>expense_functional</t>
        </is>
      </c>
      <c r="G122" s="3" t="n">
        <v>46</v>
      </c>
      <c r="H122" t="inlineStr">
        <is>
          <t>ocr</t>
        </is>
      </c>
    </row>
    <row r="123">
      <c r="A123" t="inlineStr">
        <is>
          <t>70.02.06</t>
        </is>
      </c>
      <c r="C123" t="inlineStr">
        <is>
          <t>Iluminat public si electrificari rurale</t>
        </is>
      </c>
      <c r="E123" t="n">
        <v>3</v>
      </c>
      <c r="F123" t="inlineStr">
        <is>
          <t>expense_functional</t>
        </is>
      </c>
      <c r="G123" s="3" t="n">
        <v>16465</v>
      </c>
      <c r="H123" t="inlineStr">
        <is>
          <t>ocr</t>
        </is>
      </c>
    </row>
    <row r="124">
      <c r="A124" t="inlineStr">
        <is>
          <t>70.02.50</t>
        </is>
      </c>
      <c r="C124" t="inlineStr">
        <is>
          <t>Alte servicii in domeniile locuintelor, serviciilor si dezvoltarii comunale</t>
        </is>
      </c>
      <c r="E124" t="n">
        <v>3</v>
      </c>
      <c r="F124" t="inlineStr">
        <is>
          <t>expense_functional</t>
        </is>
      </c>
      <c r="G124" s="3" t="n">
        <v>40237</v>
      </c>
      <c r="H124" t="inlineStr">
        <is>
          <t>ocr</t>
        </is>
      </c>
    </row>
    <row r="125">
      <c r="A125" t="inlineStr">
        <is>
          <t>74.02</t>
        </is>
      </c>
      <c r="C125" t="inlineStr">
        <is>
          <t>PROTECTIA MEDIULUI</t>
        </is>
      </c>
      <c r="E125" t="n">
        <v>3</v>
      </c>
      <c r="F125" t="inlineStr">
        <is>
          <t>expense_functional</t>
        </is>
      </c>
      <c r="G125" s="3" t="n">
        <v>9928</v>
      </c>
      <c r="H125" t="inlineStr">
        <is>
          <t>ocr</t>
        </is>
      </c>
    </row>
    <row r="126">
      <c r="A126" t="inlineStr">
        <is>
          <t>20</t>
        </is>
      </c>
      <c r="B126" t="inlineStr">
        <is>
          <t>74.02</t>
        </is>
      </c>
      <c r="C126" t="inlineStr">
        <is>
          <t>CHELTUIELI MATERIALE SI SERVICII</t>
        </is>
      </c>
      <c r="E126" t="n">
        <v>3</v>
      </c>
      <c r="F126" t="inlineStr">
        <is>
          <t>expense_economic</t>
        </is>
      </c>
      <c r="G126" s="3" t="n">
        <v>9800</v>
      </c>
      <c r="H126" t="inlineStr">
        <is>
          <t>ocr</t>
        </is>
      </c>
    </row>
    <row r="127">
      <c r="A127" t="inlineStr">
        <is>
          <t>55</t>
        </is>
      </c>
      <c r="B127" t="inlineStr">
        <is>
          <t>74.02</t>
        </is>
      </c>
      <c r="C127" t="inlineStr">
        <is>
          <t>ALTE TRANSFERURI Din total capitol :</t>
        </is>
      </c>
      <c r="E127" t="n">
        <v>3</v>
      </c>
      <c r="F127" t="inlineStr">
        <is>
          <t>expense_economic</t>
        </is>
      </c>
      <c r="G127" s="3" t="n">
        <v>128</v>
      </c>
      <c r="H127" t="inlineStr">
        <is>
          <t>ocr</t>
        </is>
      </c>
    </row>
    <row r="128">
      <c r="A128" t="inlineStr">
        <is>
          <t>74.02.05</t>
        </is>
      </c>
      <c r="C128" t="inlineStr">
        <is>
          <t>Salubritate si gestiunea deseurilor</t>
        </is>
      </c>
      <c r="E128" t="n">
        <v>3</v>
      </c>
      <c r="F128" t="inlineStr">
        <is>
          <t>expense_functional</t>
        </is>
      </c>
      <c r="G128" s="3" t="n">
        <v>9128</v>
      </c>
      <c r="H128" t="inlineStr">
        <is>
          <t>ocr</t>
        </is>
      </c>
    </row>
    <row r="129">
      <c r="A129" t="inlineStr">
        <is>
          <t>74.02.06</t>
        </is>
      </c>
      <c r="C129" t="inlineStr">
        <is>
          <t>Canalizarea si tratarea apelor reziduale</t>
        </is>
      </c>
      <c r="E129" t="n">
        <v>3</v>
      </c>
      <c r="F129" t="inlineStr">
        <is>
          <t>expense_functional</t>
        </is>
      </c>
      <c r="G129" s="3" t="n">
        <v>800</v>
      </c>
      <c r="H129" t="inlineStr">
        <is>
          <t>ocr</t>
        </is>
      </c>
    </row>
    <row r="130">
      <c r="A130" t="inlineStr">
        <is>
          <t>80.02</t>
        </is>
      </c>
      <c r="C130" t="inlineStr">
        <is>
          <t>ACTIUNI GENERALE ECONOMICE, COMERCIALE SI DE MUNCA</t>
        </is>
      </c>
      <c r="E130" t="n">
        <v>3</v>
      </c>
      <c r="F130" t="inlineStr">
        <is>
          <t>expense_functional</t>
        </is>
      </c>
      <c r="G130" s="3" t="n">
        <v>1510</v>
      </c>
      <c r="H130" t="inlineStr">
        <is>
          <t>ocr</t>
        </is>
      </c>
    </row>
    <row r="131">
      <c r="A131" t="inlineStr">
        <is>
          <t>55</t>
        </is>
      </c>
      <c r="B131" t="inlineStr">
        <is>
          <t>80.02</t>
        </is>
      </c>
      <c r="C131" t="inlineStr">
        <is>
          <t>ALTE TRANSFERURI</t>
        </is>
      </c>
      <c r="E131" t="n">
        <v>3</v>
      </c>
      <c r="F131" t="inlineStr">
        <is>
          <t>expense_economic</t>
        </is>
      </c>
      <c r="G131" s="3" t="n"/>
      <c r="H131" t="inlineStr">
        <is>
          <t>ocr</t>
        </is>
      </c>
    </row>
    <row r="132">
      <c r="A132" s="6" t="inlineStr">
        <is>
          <t>58.71</t>
        </is>
      </c>
      <c r="B132" s="6" t="n"/>
      <c r="C132" s="6" t="inlineStr">
        <is>
          <t>PROGRAME CU FINANTARE NERAMBURSABILA CHELTUIELI DE CAPITAL</t>
        </is>
      </c>
      <c r="D132" s="6" t="n"/>
      <c r="E132" s="6" t="n">
        <v>3</v>
      </c>
      <c r="F132" s="6" t="inlineStr">
        <is>
          <t>expense_functional</t>
        </is>
      </c>
      <c r="G132" s="8" t="n">
        <v>1510</v>
      </c>
      <c r="H132" s="6" t="inlineStr">
        <is>
          <t>ocr</t>
        </is>
      </c>
      <c r="I132" s="6" t="inlineStr">
        <is>
          <t>code 58.71 (expense_functional) not in nomenclator</t>
        </is>
      </c>
    </row>
    <row r="133">
      <c r="C133" s="2" t="inlineStr">
        <is>
          <t>Din total capitol :</t>
        </is>
      </c>
      <c r="E133" t="n">
        <v>4</v>
      </c>
      <c r="F133" t="inlineStr"/>
      <c r="G133" s="3" t="n"/>
      <c r="H133" t="inlineStr">
        <is>
          <t>ocr</t>
        </is>
      </c>
    </row>
    <row r="134">
      <c r="A134" t="inlineStr">
        <is>
          <t>80.02.01.10</t>
        </is>
      </c>
      <c r="C134" t="inlineStr">
        <is>
          <t>Programe de dezvoltare regionala si sociala</t>
        </is>
      </c>
      <c r="E134" t="n">
        <v>4</v>
      </c>
      <c r="F134" t="inlineStr">
        <is>
          <t>expense_functional</t>
        </is>
      </c>
      <c r="G134" s="3" t="n">
        <v>1510</v>
      </c>
      <c r="H134" t="inlineStr">
        <is>
          <t>ocr</t>
        </is>
      </c>
    </row>
    <row r="135">
      <c r="A135" s="6" t="inlineStr">
        <is>
          <t>84.02</t>
        </is>
      </c>
      <c r="B135" s="6" t="n"/>
      <c r="C135" s="6" t="inlineStr">
        <is>
          <t>TRANSPORTURI</t>
        </is>
      </c>
      <c r="D135" s="6" t="n"/>
      <c r="E135" s="6" t="n">
        <v>4</v>
      </c>
      <c r="F135" s="6" t="inlineStr">
        <is>
          <t>expense_functional</t>
        </is>
      </c>
      <c r="G135" s="8" t="n">
        <v>38453.5</v>
      </c>
      <c r="H135" s="6" t="inlineStr">
        <is>
          <t>ocr</t>
        </is>
      </c>
      <c r="I135" s="6" t="inlineStr">
        <is>
          <t>84.02 total_2026: parent 38.453,50 != sum(children) 2.000,00 (1 children)</t>
        </is>
      </c>
    </row>
    <row r="136">
      <c r="A136" t="inlineStr">
        <is>
          <t>20</t>
        </is>
      </c>
      <c r="B136" t="inlineStr">
        <is>
          <t>84.02</t>
        </is>
      </c>
      <c r="C136" t="inlineStr">
        <is>
          <t>BUNURI SI SERVICII</t>
        </is>
      </c>
      <c r="E136" t="n">
        <v>4</v>
      </c>
      <c r="F136" t="inlineStr">
        <is>
          <t>expense_economic</t>
        </is>
      </c>
      <c r="G136" s="3" t="n">
        <v>11000</v>
      </c>
      <c r="H136" t="inlineStr">
        <is>
          <t>ocr</t>
        </is>
      </c>
    </row>
    <row r="137">
      <c r="A137" t="inlineStr">
        <is>
          <t>40</t>
        </is>
      </c>
      <c r="B137" t="inlineStr">
        <is>
          <t>84.02</t>
        </is>
      </c>
      <c r="C137" t="inlineStr">
        <is>
          <t>SUBVENTII</t>
        </is>
      </c>
      <c r="E137" t="n">
        <v>4</v>
      </c>
      <c r="F137" t="inlineStr">
        <is>
          <t>expense_economic</t>
        </is>
      </c>
      <c r="G137" s="3" t="n">
        <v>10000</v>
      </c>
      <c r="H137" t="inlineStr">
        <is>
          <t>ocr</t>
        </is>
      </c>
    </row>
    <row r="138">
      <c r="A138" s="4" t="inlineStr">
        <is>
          <t>40.03</t>
        </is>
      </c>
      <c r="B138" s="4" t="inlineStr">
        <is>
          <t>84.02</t>
        </is>
      </c>
      <c r="C138" s="4" t="inlineStr">
        <is>
          <t>Ssue  r d oee aee u nr</t>
        </is>
      </c>
      <c r="D138" s="4" t="n"/>
      <c r="E138" s="4" t="n">
        <v>4</v>
      </c>
      <c r="F138" s="4" t="inlineStr">
        <is>
          <t>expense_economic</t>
        </is>
      </c>
      <c r="G138" s="5" t="n">
        <v>10000</v>
      </c>
      <c r="H138" s="4" t="inlineStr">
        <is>
          <t>ocr</t>
        </is>
      </c>
      <c r="I138" s="4" t="inlineStr">
        <is>
          <t>name mismatch vs nomenclator (46%): 'Ssue  r d oee aee u nr' vs 'Subvenţii pentru acoperirea diferenţelor'</t>
        </is>
      </c>
    </row>
    <row r="139">
      <c r="A139" t="inlineStr">
        <is>
          <t>56</t>
        </is>
      </c>
      <c r="B139" t="inlineStr">
        <is>
          <t>84.02</t>
        </is>
      </c>
      <c r="C139" t="inlineStr">
        <is>
          <t>Proiecte cu finantare din Fonduri exteme nerambursabile (FEN) postaderare</t>
        </is>
      </c>
      <c r="E139" t="n">
        <v>4</v>
      </c>
      <c r="F139" t="inlineStr">
        <is>
          <t>expense_economic</t>
        </is>
      </c>
      <c r="G139" s="3" t="n">
        <v>29</v>
      </c>
      <c r="H139" t="inlineStr">
        <is>
          <t>ocr</t>
        </is>
      </c>
    </row>
    <row r="140">
      <c r="A140" t="inlineStr">
        <is>
          <t>60</t>
        </is>
      </c>
      <c r="B140" t="inlineStr">
        <is>
          <t>84.02</t>
        </is>
      </c>
      <c r="C140" t="inlineStr">
        <is>
          <t>Proiecte cu finanțare din sumele reprezentând asistența financiară nerambursabilă aferentă PNRR</t>
        </is>
      </c>
      <c r="E140" t="n">
        <v>4</v>
      </c>
      <c r="F140" t="inlineStr">
        <is>
          <t>expense_economic</t>
        </is>
      </c>
      <c r="G140" s="3" t="n">
        <v>9219</v>
      </c>
      <c r="H140" t="inlineStr">
        <is>
          <t>ocr</t>
        </is>
      </c>
    </row>
    <row r="141">
      <c r="A141" s="4" t="inlineStr">
        <is>
          <t>71</t>
        </is>
      </c>
      <c r="B141" s="4" t="inlineStr">
        <is>
          <t>84.02</t>
        </is>
      </c>
      <c r="C141" s="4" t="inlineStr">
        <is>
          <t>CHELTUIELI DE CAPITAL Din total capitol :</t>
        </is>
      </c>
      <c r="D141" s="4" t="n"/>
      <c r="E141" s="4" t="n">
        <v>4</v>
      </c>
      <c r="F141" s="4" t="inlineStr">
        <is>
          <t>expense_economic</t>
        </is>
      </c>
      <c r="G141" s="5" t="n">
        <v>8205.5</v>
      </c>
      <c r="H141" s="4" t="inlineStr">
        <is>
          <t>ocr</t>
        </is>
      </c>
      <c r="I141" s="4" t="inlineStr">
        <is>
          <t>name mismatch vs nomenclator (33%): 'CHELTUIELI DE CAPITAL Din total capitol ' vs 'TITLUL XVI ACTIVE NEFINANCIARE (71.01+71'</t>
        </is>
      </c>
    </row>
    <row r="142">
      <c r="A142" t="inlineStr">
        <is>
          <t>84.02.03.02</t>
        </is>
      </c>
      <c r="C142" t="inlineStr">
        <is>
          <t>Transport in comun</t>
        </is>
      </c>
      <c r="E142" t="n">
        <v>4</v>
      </c>
      <c r="F142" t="inlineStr">
        <is>
          <t>expense_functional</t>
        </is>
      </c>
      <c r="G142" s="3" t="n">
        <v>19719</v>
      </c>
      <c r="H142" t="inlineStr">
        <is>
          <t>ocr</t>
        </is>
      </c>
    </row>
    <row r="143">
      <c r="A143" t="inlineStr">
        <is>
          <t>84.02.03.03</t>
        </is>
      </c>
      <c r="C143" t="inlineStr">
        <is>
          <t>Strazi</t>
        </is>
      </c>
      <c r="E143" t="n">
        <v>4</v>
      </c>
      <c r="F143" t="inlineStr">
        <is>
          <t>expense_functional</t>
        </is>
      </c>
      <c r="G143" s="3" t="n">
        <v>16734.5</v>
      </c>
      <c r="H143" t="inlineStr">
        <is>
          <t>ocr</t>
        </is>
      </c>
    </row>
    <row r="144">
      <c r="A144" t="inlineStr">
        <is>
          <t>84.02.50</t>
        </is>
      </c>
      <c r="C144" t="inlineStr">
        <is>
          <t>Alte cheltuieli in domeniul transporturilor</t>
        </is>
      </c>
      <c r="E144" t="n">
        <v>4</v>
      </c>
      <c r="F144" t="inlineStr">
        <is>
          <t>expense_functional</t>
        </is>
      </c>
      <c r="G144" s="3" t="n">
        <v>2000</v>
      </c>
      <c r="H144" t="inlineStr">
        <is>
          <t>ocr</t>
        </is>
      </c>
    </row>
    <row r="145">
      <c r="A145" s="4" t="inlineStr">
        <is>
          <t>96.02</t>
        </is>
      </c>
      <c r="B145" s="4" t="n"/>
      <c r="C145" s="4" t="inlineStr"/>
      <c r="D145" s="4" t="n"/>
      <c r="E145" s="4" t="n">
        <v>4</v>
      </c>
      <c r="F145" s="4" t="inlineStr">
        <is>
          <t>expense_functional</t>
        </is>
      </c>
      <c r="G145" s="5" t="n">
        <v>-1202.43</v>
      </c>
      <c r="H145" s="4" t="inlineStr">
        <is>
          <t>ocr</t>
        </is>
      </c>
      <c r="I145" s="4" t="inlineStr">
        <is>
          <t>name mismatch vs nomenclator (0%): '' vs 'Partea a VII-a REZERVE, EXCEDENT/DEFICIT'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4" customWidth="1" min="4" max="4"/>
    <col width="12" customWidth="1" min="5" max="5"/>
    <col width="100" customWidth="1" min="6" max="6"/>
  </cols>
  <sheetData>
    <row r="1">
      <c r="A1" s="1" t="inlineStr">
        <is>
          <t>Verificare</t>
        </is>
      </c>
      <c r="B1" s="1" t="inlineStr">
        <is>
          <t>Severitate</t>
        </is>
      </c>
      <c r="C1" s="1" t="inlineStr">
        <is>
          <t>Pagina</t>
        </is>
      </c>
      <c r="D1" s="1" t="inlineStr">
        <is>
          <t>Cod</t>
        </is>
      </c>
      <c r="E1" s="1" t="inlineStr">
        <is>
          <t>Coloana</t>
        </is>
      </c>
      <c r="F1" s="1" t="inlineStr">
        <is>
          <t>Mesaj</t>
        </is>
      </c>
    </row>
    <row r="2">
      <c r="A2" t="inlineStr">
        <is>
          <t>V6_repair</t>
        </is>
      </c>
      <c r="B2" t="inlineStr">
        <is>
          <t>warning</t>
        </is>
      </c>
      <c r="C2" t="n">
        <v>2</v>
      </c>
      <c r="D2" t="inlineStr">
        <is>
          <t>61.02</t>
        </is>
      </c>
      <c r="E2" t="inlineStr">
        <is>
          <t>total_2026</t>
        </is>
      </c>
      <c r="F2" t="inlineStr">
        <is>
          <t>LLM re-read 2 rows for 61.02 total_2026: still inconsistent — UNRESOLVED</t>
        </is>
      </c>
    </row>
    <row r="3">
      <c r="A3" t="inlineStr">
        <is>
          <t>V6_repair</t>
        </is>
      </c>
      <c r="B3" t="inlineStr">
        <is>
          <t>warning</t>
        </is>
      </c>
      <c r="C3" t="n">
        <v>2</v>
      </c>
      <c r="D3" t="inlineStr">
        <is>
          <t>66.02</t>
        </is>
      </c>
      <c r="E3" t="inlineStr">
        <is>
          <t>total_2026</t>
        </is>
      </c>
      <c r="F3" t="inlineStr">
        <is>
          <t>LLM re-read 2 rows for 66.02 total_2026: still inconsistent — UNRESOLVED</t>
        </is>
      </c>
    </row>
    <row r="4">
      <c r="A4" t="inlineStr">
        <is>
          <t>V6_repair</t>
        </is>
      </c>
      <c r="B4" t="inlineStr">
        <is>
          <t>warning</t>
        </is>
      </c>
      <c r="C4" t="n">
        <v>3</v>
      </c>
      <c r="D4" t="inlineStr">
        <is>
          <t>67.02</t>
        </is>
      </c>
      <c r="E4" t="inlineStr">
        <is>
          <t>total_2026</t>
        </is>
      </c>
      <c r="F4" t="inlineStr">
        <is>
          <t>LLM re-read 3 rows for 67.02 total_2026: still inconsistent — UNRESOLVED</t>
        </is>
      </c>
    </row>
    <row r="5">
      <c r="A5" t="inlineStr">
        <is>
          <t>V6_repair</t>
        </is>
      </c>
      <c r="B5" t="inlineStr">
        <is>
          <t>warning</t>
        </is>
      </c>
      <c r="C5" t="n">
        <v>3</v>
      </c>
      <c r="D5" t="inlineStr">
        <is>
          <t>68.02</t>
        </is>
      </c>
      <c r="E5" t="inlineStr">
        <is>
          <t>total_2026</t>
        </is>
      </c>
      <c r="F5" t="inlineStr">
        <is>
          <t>LLM re-read 4 rows for 68.02 total_2026: still inconsistent — UNRESOLVED</t>
        </is>
      </c>
    </row>
    <row r="6">
      <c r="A6" t="inlineStr">
        <is>
          <t>V6_repair</t>
        </is>
      </c>
      <c r="B6" t="inlineStr">
        <is>
          <t>warning</t>
        </is>
      </c>
      <c r="C6" t="n">
        <v>3</v>
      </c>
      <c r="D6" t="inlineStr">
        <is>
          <t>70.02</t>
        </is>
      </c>
      <c r="E6" t="inlineStr">
        <is>
          <t>total_2026</t>
        </is>
      </c>
      <c r="F6" t="inlineStr">
        <is>
          <t>LLM re-read 4 rows for 70.02 total_2026: still inconsistent — UNRESOLVED</t>
        </is>
      </c>
    </row>
    <row r="7">
      <c r="A7" t="inlineStr">
        <is>
          <t>V6_repair</t>
        </is>
      </c>
      <c r="B7" t="inlineStr">
        <is>
          <t>warning</t>
        </is>
      </c>
      <c r="C7" t="n">
        <v>4</v>
      </c>
      <c r="D7" t="inlineStr">
        <is>
          <t>84.02</t>
        </is>
      </c>
      <c r="E7" t="inlineStr">
        <is>
          <t>total_2026</t>
        </is>
      </c>
      <c r="F7" t="inlineStr">
        <is>
          <t>LLM re-read 2 rows for 84.02 total_2026: still inconsistent — UNRESOLVED</t>
        </is>
      </c>
    </row>
    <row r="8">
      <c r="A8" t="inlineStr">
        <is>
          <t>V2_name</t>
        </is>
      </c>
      <c r="B8" t="inlineStr">
        <is>
          <t>warning</t>
        </is>
      </c>
      <c r="C8" t="n">
        <v>1</v>
      </c>
      <c r="D8" t="inlineStr">
        <is>
          <t>48.02</t>
        </is>
      </c>
      <c r="F8" t="inlineStr">
        <is>
          <t>name mismatch vs nomenclator (18%): 'VENITURI PROPRII' vs 'Sume primite de la UE/alti donatori in c'</t>
        </is>
      </c>
    </row>
    <row r="9">
      <c r="A9" t="inlineStr">
        <is>
          <t>V2_name</t>
        </is>
      </c>
      <c r="B9" t="inlineStr">
        <is>
          <t>warning</t>
        </is>
      </c>
      <c r="C9" t="n">
        <v>1</v>
      </c>
      <c r="D9" t="inlineStr">
        <is>
          <t>42.02.88.02</t>
        </is>
      </c>
      <c r="F9" t="inlineStr">
        <is>
          <t>name mismatch vs nomenclator (36%): 'Sume aferente TVA' vs 'Finantare publica naționala'</t>
        </is>
      </c>
    </row>
    <row r="10">
      <c r="A10" t="inlineStr">
        <is>
          <t>V2_name</t>
        </is>
      </c>
      <c r="B10" t="inlineStr">
        <is>
          <t>warning</t>
        </is>
      </c>
      <c r="C10" t="n">
        <v>1</v>
      </c>
      <c r="D10" t="inlineStr">
        <is>
          <t>42.02.89.02</t>
        </is>
      </c>
      <c r="F10" t="inlineStr">
        <is>
          <t>name mismatch vs nomenclator (36%): 'Sume aferente TVA' vs 'Finantare publica naționala'</t>
        </is>
      </c>
    </row>
    <row r="11">
      <c r="A11" t="inlineStr">
        <is>
          <t>V7_hygiene</t>
        </is>
      </c>
      <c r="B11" s="6" t="inlineStr">
        <is>
          <t>error</t>
        </is>
      </c>
      <c r="C11" t="n">
        <v>1</v>
      </c>
      <c r="E11" t="inlineStr">
        <is>
          <t>total_2026</t>
        </is>
      </c>
      <c r="F11" t="inlineStr">
        <is>
          <t>unparseable cell 'PROPUNERI BUGET 2026' in column total_2026</t>
        </is>
      </c>
    </row>
    <row r="12">
      <c r="A12" t="inlineStr">
        <is>
          <t>V2_name</t>
        </is>
      </c>
      <c r="B12" t="inlineStr">
        <is>
          <t>warning</t>
        </is>
      </c>
      <c r="C12" t="n">
        <v>2</v>
      </c>
      <c r="D12" t="inlineStr">
        <is>
          <t>50.02</t>
        </is>
      </c>
      <c r="F12" t="inlineStr">
        <is>
          <t>name mismatch vs nomenclator (30%): 'CHELTUIELI - TOTAL (cod 51.02 + 54.02 + ' vs 'Partea I-a SERVICII PUBLICE GENERALE'</t>
        </is>
      </c>
    </row>
    <row r="13">
      <c r="A13" t="inlineStr">
        <is>
          <t>V2_name</t>
        </is>
      </c>
      <c r="B13" t="inlineStr">
        <is>
          <t>warning</t>
        </is>
      </c>
      <c r="C13" t="n">
        <v>2</v>
      </c>
      <c r="D13" t="inlineStr">
        <is>
          <t>71</t>
        </is>
      </c>
      <c r="F13" t="inlineStr">
        <is>
          <t>name mismatch vs nomenclator (28%): 'CHELTUIELI DE CAPITAL' vs 'TITLUL XVI ACTIVE NEFINANCIARE (71.01+71'</t>
        </is>
      </c>
    </row>
    <row r="14">
      <c r="A14" t="inlineStr">
        <is>
          <t>V2_name</t>
        </is>
      </c>
      <c r="B14" t="inlineStr">
        <is>
          <t>warning</t>
        </is>
      </c>
      <c r="C14" t="n">
        <v>2</v>
      </c>
      <c r="D14" t="inlineStr">
        <is>
          <t>20</t>
        </is>
      </c>
      <c r="F14" t="inlineStr">
        <is>
          <t>name mismatch vs nomenclator (21%): 'COMISIOANE' vs 'TITLUL II  BUNURI SI SERVICII'</t>
        </is>
      </c>
    </row>
    <row r="15">
      <c r="A15" t="inlineStr">
        <is>
          <t>V4_hierarchy</t>
        </is>
      </c>
      <c r="B15" s="6" t="inlineStr">
        <is>
          <t>error</t>
        </is>
      </c>
      <c r="C15" t="n">
        <v>2</v>
      </c>
      <c r="D15" t="inlineStr">
        <is>
          <t>61.02</t>
        </is>
      </c>
      <c r="E15" t="inlineStr">
        <is>
          <t>total_2026</t>
        </is>
      </c>
      <c r="F15" t="inlineStr">
        <is>
          <t>61.02 total_2026: parent 11.118,00 != sum(children) 584,00 (1 children)</t>
        </is>
      </c>
    </row>
    <row r="16">
      <c r="A16" t="inlineStr">
        <is>
          <t>V2_name</t>
        </is>
      </c>
      <c r="B16" t="inlineStr">
        <is>
          <t>warning</t>
        </is>
      </c>
      <c r="C16" t="n">
        <v>2</v>
      </c>
      <c r="D16" t="inlineStr">
        <is>
          <t>59</t>
        </is>
      </c>
      <c r="F16" t="inlineStr">
        <is>
          <t>name mismatch vs nomenclator (16%): 'FOND HANDICAP' vs 'TITLUL XI ALTE CHELTUIELI'</t>
        </is>
      </c>
    </row>
    <row r="17">
      <c r="A17" t="inlineStr">
        <is>
          <t>V2_name</t>
        </is>
      </c>
      <c r="B17" t="inlineStr">
        <is>
          <t>warning</t>
        </is>
      </c>
      <c r="C17" t="n">
        <v>2</v>
      </c>
      <c r="D17" t="inlineStr">
        <is>
          <t>71</t>
        </is>
      </c>
      <c r="F17" t="inlineStr">
        <is>
          <t>name mismatch vs nomenclator (28%): 'CHELTUIELI DE CAPITAL' vs 'TITLUL XVI ACTIVE NEFINANCIARE (71.01+71'</t>
        </is>
      </c>
    </row>
    <row r="18">
      <c r="A18" t="inlineStr">
        <is>
          <t>V2_name</t>
        </is>
      </c>
      <c r="B18" t="inlineStr">
        <is>
          <t>warning</t>
        </is>
      </c>
      <c r="C18" t="n">
        <v>2</v>
      </c>
      <c r="D18" t="inlineStr">
        <is>
          <t>57</t>
        </is>
      </c>
      <c r="F18" t="inlineStr">
        <is>
          <t>name mismatch vs nomenclator (30%): 'AJUTOARE SOCIALE - finanțarea drepturilo' vs 'TITLUL IX  ASISTENTA SOCIALA'</t>
        </is>
      </c>
    </row>
    <row r="19">
      <c r="A19" t="inlineStr">
        <is>
          <t>V4_hierarchy</t>
        </is>
      </c>
      <c r="B19" s="6" t="inlineStr">
        <is>
          <t>error</t>
        </is>
      </c>
      <c r="C19" t="n">
        <v>2</v>
      </c>
      <c r="D19" t="inlineStr">
        <is>
          <t>66.02</t>
        </is>
      </c>
      <c r="E19" t="inlineStr">
        <is>
          <t>total_2026</t>
        </is>
      </c>
      <c r="F19" t="inlineStr">
        <is>
          <t>66.02 total_2026: parent 16.992,00 != sum(children) 6.975,00 (1 children)</t>
        </is>
      </c>
    </row>
    <row r="20">
      <c r="A20" t="inlineStr">
        <is>
          <t>V2_name</t>
        </is>
      </c>
      <c r="B20" t="inlineStr">
        <is>
          <t>warning</t>
        </is>
      </c>
      <c r="C20" t="n">
        <v>2</v>
      </c>
      <c r="D20" t="inlineStr">
        <is>
          <t>57</t>
        </is>
      </c>
      <c r="F20" t="inlineStr">
        <is>
          <t>name mismatch vs nomenclator (49%): 'AJUTOARE SOCIALE IN NATURA' vs 'TITLUL IX  ASISTENTA SOCIALA'</t>
        </is>
      </c>
    </row>
    <row r="21">
      <c r="A21" t="inlineStr">
        <is>
          <t>V1_code</t>
        </is>
      </c>
      <c r="B21" s="6" t="inlineStr">
        <is>
          <t>error</t>
        </is>
      </c>
      <c r="C21" t="n">
        <v>2</v>
      </c>
      <c r="D21" t="inlineStr">
        <is>
          <t>71.85</t>
        </is>
      </c>
      <c r="F21" t="inlineStr">
        <is>
          <t>code 71.85 (expense_functional) not in nomenclator</t>
        </is>
      </c>
    </row>
    <row r="22">
      <c r="A22" t="inlineStr">
        <is>
          <t>V4_hierarchy</t>
        </is>
      </c>
      <c r="B22" s="6" t="inlineStr">
        <is>
          <t>error</t>
        </is>
      </c>
      <c r="C22" t="n">
        <v>3</v>
      </c>
      <c r="D22" t="inlineStr">
        <is>
          <t>67.02</t>
        </is>
      </c>
      <c r="E22" t="inlineStr">
        <is>
          <t>total_2026</t>
        </is>
      </c>
      <c r="F22" t="inlineStr">
        <is>
          <t>67.02 total_2026: parent 38.905,10 != sum(children) 6.250,00 (2 children)</t>
        </is>
      </c>
    </row>
    <row r="23">
      <c r="A23" t="inlineStr">
        <is>
          <t>V2_name</t>
        </is>
      </c>
      <c r="B23" t="inlineStr">
        <is>
          <t>warning</t>
        </is>
      </c>
      <c r="C23" t="n">
        <v>3</v>
      </c>
      <c r="D23" t="inlineStr">
        <is>
          <t>57</t>
        </is>
      </c>
      <c r="F23" t="inlineStr">
        <is>
          <t>name mismatch vs nomenclator (47%): 'AJUTOARE SOCIALE' vs 'TITLUL IX  ASISTENTA SOCIALA'</t>
        </is>
      </c>
    </row>
    <row r="24">
      <c r="A24" t="inlineStr">
        <is>
          <t>V2_name</t>
        </is>
      </c>
      <c r="B24" t="inlineStr">
        <is>
          <t>warning</t>
        </is>
      </c>
      <c r="C24" t="n">
        <v>3</v>
      </c>
      <c r="D24" t="inlineStr">
        <is>
          <t>58</t>
        </is>
      </c>
      <c r="F24" t="inlineStr">
        <is>
          <t>name mismatch vs nomenclator (50%): 'PROGRAME CU FINANTARE NERAMBURSABILA' vs 'TITLUL X PROIECTE CU FINANTARE DIN FONDU'</t>
        </is>
      </c>
    </row>
    <row r="25">
      <c r="A25" t="inlineStr">
        <is>
          <t>V2_name</t>
        </is>
      </c>
      <c r="B25" t="inlineStr">
        <is>
          <t>warning</t>
        </is>
      </c>
      <c r="C25" t="n">
        <v>3</v>
      </c>
      <c r="D25" t="inlineStr">
        <is>
          <t>59</t>
        </is>
      </c>
      <c r="F25" t="inlineStr">
        <is>
          <t>name mismatch vs nomenclator (37%): 'SPORT+ALTE ACTIUNI SOCIAL-CULTURALE' vs 'TITLUL XI ALTE CHELTUIELI'</t>
        </is>
      </c>
    </row>
    <row r="26">
      <c r="A26" t="inlineStr">
        <is>
          <t>V2_name</t>
        </is>
      </c>
      <c r="B26" t="inlineStr">
        <is>
          <t>warning</t>
        </is>
      </c>
      <c r="C26" t="n">
        <v>3</v>
      </c>
      <c r="D26" t="inlineStr">
        <is>
          <t>71</t>
        </is>
      </c>
      <c r="F26" t="inlineStr">
        <is>
          <t>name mismatch vs nomenclator (28%): 'CHELTUIELI DE CAPITAL' vs 'TITLUL XVI ACTIVE NEFINANCIARE (71.01+71'</t>
        </is>
      </c>
    </row>
    <row r="27">
      <c r="A27" t="inlineStr">
        <is>
          <t>V2_name</t>
        </is>
      </c>
      <c r="B27" t="inlineStr">
        <is>
          <t>warning</t>
        </is>
      </c>
      <c r="C27" t="n">
        <v>3</v>
      </c>
      <c r="D27" t="inlineStr">
        <is>
          <t>67.02.05.01</t>
        </is>
      </c>
      <c r="F27" t="inlineStr">
        <is>
          <t>name mismatch vs nomenclator (28%): 'Servicii recreative si sportive' vs 'Sport'</t>
        </is>
      </c>
    </row>
    <row r="28">
      <c r="A28" t="inlineStr">
        <is>
          <t>V4_hierarchy</t>
        </is>
      </c>
      <c r="B28" s="6" t="inlineStr">
        <is>
          <t>error</t>
        </is>
      </c>
      <c r="C28" t="n">
        <v>3</v>
      </c>
      <c r="D28" t="inlineStr">
        <is>
          <t>68.02</t>
        </is>
      </c>
      <c r="E28" t="inlineStr">
        <is>
          <t>total_2026</t>
        </is>
      </c>
      <c r="F28" t="inlineStr">
        <is>
          <t>68.02 total_2026: parent 77.978,50 != sum(children) 35.594,00 (3 children)</t>
        </is>
      </c>
    </row>
    <row r="29">
      <c r="A29" t="inlineStr">
        <is>
          <t>V2_name</t>
        </is>
      </c>
      <c r="B29" t="inlineStr">
        <is>
          <t>warning</t>
        </is>
      </c>
      <c r="C29" t="n">
        <v>3</v>
      </c>
      <c r="D29" t="inlineStr">
        <is>
          <t>58</t>
        </is>
      </c>
      <c r="F29" t="inlineStr">
        <is>
          <t>name mismatch vs nomenclator (50%): 'PROGRAME CU FINANTARE NERAMBURSABILA' vs 'TITLUL X PROIECTE CU FINANTARE DIN FONDU'</t>
        </is>
      </c>
    </row>
    <row r="30">
      <c r="A30" t="inlineStr">
        <is>
          <t>V2_name</t>
        </is>
      </c>
      <c r="B30" t="inlineStr">
        <is>
          <t>warning</t>
        </is>
      </c>
      <c r="C30" t="n">
        <v>3</v>
      </c>
      <c r="D30" t="inlineStr">
        <is>
          <t>57</t>
        </is>
      </c>
      <c r="F30" t="inlineStr">
        <is>
          <t>name mismatch vs nomenclator (50%): 'ASISTENTA SOCIALA: AJUTOARE SOCIALE + IN' vs 'TITLUL IX  ASISTENTA SOCIALA'</t>
        </is>
      </c>
    </row>
    <row r="31">
      <c r="A31" t="inlineStr">
        <is>
          <t>V2_name</t>
        </is>
      </c>
      <c r="B31" t="inlineStr">
        <is>
          <t>warning</t>
        </is>
      </c>
      <c r="C31" t="n">
        <v>3</v>
      </c>
      <c r="D31" t="inlineStr">
        <is>
          <t>71</t>
        </is>
      </c>
      <c r="F31" t="inlineStr">
        <is>
          <t>name mismatch vs nomenclator (28%): 'CHELTUIELI DE CAPITAL' vs 'TITLUL XVI ACTIVE NEFINANCIARE (71.01+71'</t>
        </is>
      </c>
    </row>
    <row r="32">
      <c r="A32" t="inlineStr">
        <is>
          <t>V4_hierarchy</t>
        </is>
      </c>
      <c r="B32" s="6" t="inlineStr">
        <is>
          <t>error</t>
        </is>
      </c>
      <c r="C32" t="n">
        <v>3</v>
      </c>
      <c r="D32" t="inlineStr">
        <is>
          <t>70.02</t>
        </is>
      </c>
      <c r="E32" t="inlineStr">
        <is>
          <t>total_2026</t>
        </is>
      </c>
      <c r="F32" t="inlineStr">
        <is>
          <t>70.02 total_2026: parent 90.318,50 != sum(children) 90.272,50 (3 children)</t>
        </is>
      </c>
    </row>
    <row r="33">
      <c r="A33" t="inlineStr">
        <is>
          <t>V1_code</t>
        </is>
      </c>
      <c r="B33" s="6" t="inlineStr">
        <is>
          <t>error</t>
        </is>
      </c>
      <c r="C33" t="n">
        <v>3</v>
      </c>
      <c r="D33" t="inlineStr">
        <is>
          <t>60.61</t>
        </is>
      </c>
      <c r="F33" t="inlineStr">
        <is>
          <t>code 60.61 (expense_functional) not in nomenclator</t>
        </is>
      </c>
    </row>
    <row r="34">
      <c r="A34" t="inlineStr">
        <is>
          <t>V2_name</t>
        </is>
      </c>
      <c r="B34" t="inlineStr">
        <is>
          <t>warning</t>
        </is>
      </c>
      <c r="C34" t="n">
        <v>3</v>
      </c>
      <c r="D34" t="inlineStr">
        <is>
          <t>71</t>
        </is>
      </c>
      <c r="F34" t="inlineStr">
        <is>
          <t>name mismatch vs nomenclator (28%): 'CHELTUIELI DE CAPITAL' vs 'TITLUL XVI ACTIVE NEFINANCIARE (71.01+71'</t>
        </is>
      </c>
    </row>
    <row r="35">
      <c r="A35" t="inlineStr">
        <is>
          <t>V1_code</t>
        </is>
      </c>
      <c r="B35" s="6" t="inlineStr">
        <is>
          <t>error</t>
        </is>
      </c>
      <c r="C35" t="n">
        <v>3</v>
      </c>
      <c r="D35" t="inlineStr">
        <is>
          <t>58.71</t>
        </is>
      </c>
      <c r="F35" t="inlineStr">
        <is>
          <t>code 58.71 (expense_functional) not in nomenclator</t>
        </is>
      </c>
    </row>
    <row r="36">
      <c r="A36" t="inlineStr">
        <is>
          <t>V4_hierarchy</t>
        </is>
      </c>
      <c r="B36" s="6" t="inlineStr">
        <is>
          <t>error</t>
        </is>
      </c>
      <c r="C36" t="n">
        <v>4</v>
      </c>
      <c r="D36" t="inlineStr">
        <is>
          <t>84.02</t>
        </is>
      </c>
      <c r="E36" t="inlineStr">
        <is>
          <t>total_2026</t>
        </is>
      </c>
      <c r="F36" t="inlineStr">
        <is>
          <t>84.02 total_2026: parent 38.453,50 != sum(children) 2.000,00 (1 children)</t>
        </is>
      </c>
    </row>
    <row r="37">
      <c r="A37" t="inlineStr">
        <is>
          <t>V2_name</t>
        </is>
      </c>
      <c r="B37" t="inlineStr">
        <is>
          <t>warning</t>
        </is>
      </c>
      <c r="C37" t="n">
        <v>4</v>
      </c>
      <c r="D37" t="inlineStr">
        <is>
          <t>40.03</t>
        </is>
      </c>
      <c r="F37" t="inlineStr">
        <is>
          <t>name mismatch vs nomenclator (46%): 'Ssue  r d oee aee u nr' vs 'Subvenţii pentru acoperirea diferenţelor'</t>
        </is>
      </c>
    </row>
    <row r="38">
      <c r="A38" t="inlineStr">
        <is>
          <t>V2_name</t>
        </is>
      </c>
      <c r="B38" t="inlineStr">
        <is>
          <t>warning</t>
        </is>
      </c>
      <c r="C38" t="n">
        <v>4</v>
      </c>
      <c r="D38" t="inlineStr">
        <is>
          <t>71</t>
        </is>
      </c>
      <c r="F38" t="inlineStr">
        <is>
          <t>name mismatch vs nomenclator (33%): 'CHELTUIELI DE CAPITAL Din total capitol ' vs 'TITLUL XVI ACTIVE NEFINANCIARE (71.01+71'</t>
        </is>
      </c>
    </row>
    <row r="39">
      <c r="A39" t="inlineStr">
        <is>
          <t>V2_name</t>
        </is>
      </c>
      <c r="B39" t="inlineStr">
        <is>
          <t>warning</t>
        </is>
      </c>
      <c r="C39" t="n">
        <v>4</v>
      </c>
      <c r="D39" t="inlineStr">
        <is>
          <t>96.02</t>
        </is>
      </c>
      <c r="F39" t="inlineStr">
        <is>
          <t>name mismatch vs nomenclator (0%): '' vs 'Partea a VII-a REZERVE, EXCEDENT/DEFICIT'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2" t="inlineStr">
        <is>
          <t>Fisier</t>
        </is>
      </c>
      <c r="B1" t="inlineStr">
        <is>
          <t>budget_file.pdf</t>
        </is>
      </c>
    </row>
    <row r="2">
      <c r="A2" s="2" t="inlineStr">
        <is>
          <t>Documente</t>
        </is>
      </c>
      <c r="B2" t="n">
        <v>1</v>
      </c>
    </row>
    <row r="3">
      <c r="A3" s="2" t="inlineStr">
        <is>
          <t>Linii de date</t>
        </is>
      </c>
      <c r="B3" t="n">
        <v>133</v>
      </c>
    </row>
    <row r="4">
      <c r="A4" s="2" t="inlineStr">
        <is>
          <t>Linii fara probleme</t>
        </is>
      </c>
      <c r="B4" t="n">
        <v>102</v>
      </c>
    </row>
    <row r="5">
      <c r="A5" s="2" t="inlineStr">
        <is>
          <t>% curat</t>
        </is>
      </c>
      <c r="B5" t="n">
        <v>76.7</v>
      </c>
    </row>
    <row r="6">
      <c r="A6" s="2" t="inlineStr">
        <is>
          <t>Erori</t>
        </is>
      </c>
      <c r="B6" t="n">
        <v>10</v>
      </c>
    </row>
    <row r="7">
      <c r="A7" s="2" t="inlineStr">
        <is>
          <t>Avertismente</t>
        </is>
      </c>
      <c r="B7" t="n">
        <v>28</v>
      </c>
    </row>
    <row r="8">
      <c r="A8" s="2" t="inlineStr">
        <is>
          <t>— BUGETUL LOCAL PE ANUL</t>
        </is>
      </c>
      <c r="B8" t="inlineStr">
        <is>
          <t>local, pag. 1-4, 144 linii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2026-08-23T07:27:14Z</dcterms:created>
  <dcterms:modified xmlns:dcterms="http://purl.org/dc/terms/" xmlns:xsi="http://www.w3.org/2001/XMLSchema-instance" xsi:type="dcterms:W3CDTF">2026-08-23T07:27:14Z</dcterms:modified>
</cp:coreProperties>
</file>